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Students" sheetId="3" state="visible" r:id="rId5"/>
  </sheets>
  <definedNames>
    <definedName function="false" hidden="true" localSheetId="2" name="_xlnm._FilterDatabase" vbProcedure="false">Students!$A$1:$Q$1001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<sst xmlns="http://schemas.openxmlformats.org/spreadsheetml/2006/main" count="348" uniqueCount="136">
  <si>
    <t xml:space="preserve">EL Data Dashboard — Mississippi ELPT / ELPA21</t>
  </si>
  <si>
    <t xml:space="preserve">What it does</t>
  </si>
  <si>
    <t xml:space="preserve">Paste your district or school EL roster into the Students sheet; the Dashboard sheet computes counts by level, domain averages, % proficient, growth from last year, years-in-program distribution, monitored students, and a by-grade table — with charts — using formulas only. Nothing is hard-coded.</t>
  </si>
  <si>
    <t xml:space="preserve">How to fill it</t>
  </si>
  <si>
    <t xml:space="preserve">1. Export your EL roster (MSIS or your SIS) with: student ID, school, grade, home language, years in program, this year's ELPT levels by domain, last year's overall, and status.  2. Paste rows into the Students sheet starting at row 2 — blue cells are inputs; black cells are formulas.  3. Keep the column order. Delete the example rows first.  4. Dashboard updates automatically. Up to 1,000 students; extend formulas if you have more.</t>
  </si>
  <si>
    <t xml:space="preserve">Columns</t>
  </si>
  <si>
    <t xml:space="preserve">ID · School · Grade (K, 1–12) · Home language · Years in EL program (1 = first year) · Listening · Speaking · Reading · Writing (1–5 this year) · Last year overall (1–5, blank if new) · Status (EL, Declined, Monitored Y1–Y4) · IEP (Y/N) · Notes.  Overall and Proficient? are formulas.</t>
  </si>
  <si>
    <t xml:space="preserve">Definitions</t>
  </si>
  <si>
    <t xml:space="preserve">Proficient (exit) = Level 4 or 5 in ALL four domains (Mississippi ELPT exit rule). Overall label: Emerging = all domains 1–2; Progressing = anything else below proficient. Growth = this year's overall minus last year's overall. Lowest domain = the domain to target in the LSP.</t>
  </si>
  <si>
    <t xml:space="preserve">Privacy</t>
  </si>
  <si>
    <t xml:space="preserve">This file holds student-level data. Store it where your district stores FERPA-protected records; strip names before sharing charts. Example rows are fictional.</t>
  </si>
  <si>
    <t xml:space="preserve">Source</t>
  </si>
  <si>
    <t xml:space="preserve">Levels and exit rule: ELPA21 proficiency determinations as used by the Mississippi Department of Education (ELPT), 2026–27. Template by Richard A. Daniel, M.Ed., EL Publishing — radan55.github.io/everyteacher</t>
  </si>
  <si>
    <t xml:space="preserve">Legend:</t>
  </si>
  <si>
    <t xml:space="preserve">Blue text = you type it   ·   Black = formula, leave it   ·   Yellow = dashboard results</t>
  </si>
  <si>
    <t xml:space="preserve">EL Data Dashboard</t>
  </si>
  <si>
    <t xml:space="preserve">1 · Overall determination (active ELs)</t>
  </si>
  <si>
    <t xml:space="preserve">2 · Average level by domain (active ELs)</t>
  </si>
  <si>
    <t xml:space="preserve">Label</t>
  </si>
  <si>
    <t xml:space="preserve">Students</t>
  </si>
  <si>
    <t xml:space="preserve">% of ELs</t>
  </si>
  <si>
    <t xml:space="preserve">Domain</t>
  </si>
  <si>
    <t xml:space="preserve">Average</t>
  </si>
  <si>
    <t xml:space="preserve">At 4–5</t>
  </si>
  <si>
    <t xml:space="preserve">% at 4–5</t>
  </si>
  <si>
    <t xml:space="preserve">Emerging</t>
  </si>
  <si>
    <t xml:space="preserve">Listening</t>
  </si>
  <si>
    <t xml:space="preserve">Progressing</t>
  </si>
  <si>
    <t xml:space="preserve">Speaking</t>
  </si>
  <si>
    <t xml:space="preserve">Proficient</t>
  </si>
  <si>
    <t xml:space="preserve">Reading</t>
  </si>
  <si>
    <t xml:space="preserve">Total</t>
  </si>
  <si>
    <t xml:space="preserve">Writing</t>
  </si>
  <si>
    <t xml:space="preserve">3 · Students at each level, by domain</t>
  </si>
  <si>
    <t xml:space="preserve">4 · Growth since last year (students with a prior score)</t>
  </si>
  <si>
    <t xml:space="preserve">Level</t>
  </si>
  <si>
    <t xml:space="preserve">Measure</t>
  </si>
  <si>
    <t xml:space="preserve">Value</t>
  </si>
  <si>
    <t xml:space="preserve">Students with prior score</t>
  </si>
  <si>
    <t xml:space="preserve">Average growth (levels)</t>
  </si>
  <si>
    <t xml:space="preserve">Grew ≥ ½ level</t>
  </si>
  <si>
    <t xml:space="preserve">No growth or declined</t>
  </si>
  <si>
    <t xml:space="preserve">% grew ≥ ½ level</t>
  </si>
  <si>
    <t xml:space="preserve">5 · Years in program (active ELs)</t>
  </si>
  <si>
    <t xml:space="preserve">6 · Lowest domain (where LSPs should focus)</t>
  </si>
  <si>
    <t xml:space="preserve">Years</t>
  </si>
  <si>
    <t xml:space="preserve">Proficient this year</t>
  </si>
  <si>
    <t xml:space="preserve">5+</t>
  </si>
  <si>
    <t xml:space="preserve">Long-term ELs (6+ yrs) are a §15 / OCR flag — see Students sheet filter Years ≥ 6.</t>
  </si>
  <si>
    <t xml:space="preserve">7 · By grade (active ELs)</t>
  </si>
  <si>
    <t xml:space="preserve">8 · Home languages (top 8, type them in blue)</t>
  </si>
  <si>
    <t xml:space="preserve">Grade</t>
  </si>
  <si>
    <t xml:space="preserve">ELs</t>
  </si>
  <si>
    <t xml:space="preserve">% proficient</t>
  </si>
  <si>
    <t xml:space="preserve">Avg years</t>
  </si>
  <si>
    <t xml:space="preserve">IEP</t>
  </si>
  <si>
    <t xml:space="preserve">Language</t>
  </si>
  <si>
    <t xml:space="preserve">K</t>
  </si>
  <si>
    <t xml:space="preserve">Spanish</t>
  </si>
  <si>
    <t xml:space="preserve">1</t>
  </si>
  <si>
    <t xml:space="preserve">Vietnamese</t>
  </si>
  <si>
    <t xml:space="preserve">2</t>
  </si>
  <si>
    <t xml:space="preserve">Arabic</t>
  </si>
  <si>
    <t xml:space="preserve">3</t>
  </si>
  <si>
    <t xml:space="preserve">Haitian Creole</t>
  </si>
  <si>
    <t xml:space="preserve">4</t>
  </si>
  <si>
    <t xml:space="preserve">Chinese</t>
  </si>
  <si>
    <t xml:space="preserve">5</t>
  </si>
  <si>
    <t xml:space="preserve">K'iche'</t>
  </si>
  <si>
    <t xml:space="preserve">6</t>
  </si>
  <si>
    <t xml:space="preserve">Portuguese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</si>
  <si>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</si>
  <si>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</si>
  <si>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</si>
  <si>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</si>
  <si>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</si>
  <si>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</si>
  <si>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ID</t>
  </si>
  <si>
    <t xml:space="preserve">School</t>
  </si>
  <si>
    <t xml:space="preserve">Home language</t>
  </si>
  <si>
    <t xml:space="preserve">Years in program</t>
  </si>
  <si>
    <t xml:space="preserve">Overall (formula)</t>
  </si>
  <si>
    <t xml:space="preserve">Proficient? (formula)</t>
  </si>
  <si>
    <t xml:space="preserve">Lowest domain (formula)</t>
  </si>
  <si>
    <t xml:space="preserve">Last year overall</t>
  </si>
  <si>
    <t xml:space="preserve">Growth (formula)</t>
  </si>
  <si>
    <t xml:space="preserve">Status</t>
  </si>
  <si>
    <t xml:space="preserve">Notes</t>
  </si>
  <si>
    <t xml:space="preserve">S1001</t>
  </si>
  <si>
    <t xml:space="preserve">Oak Park ES</t>
  </si>
  <si>
    <t xml:space="preserve">EL</t>
  </si>
  <si>
    <t xml:space="preserve">N</t>
  </si>
  <si>
    <t xml:space="preserve">S1002</t>
  </si>
  <si>
    <t xml:space="preserve">Laurel MS</t>
  </si>
  <si>
    <t xml:space="preserve">Y</t>
  </si>
  <si>
    <t xml:space="preserve">S1003</t>
  </si>
  <si>
    <t xml:space="preserve">Monitored Y1</t>
  </si>
  <si>
    <t xml:space="preserve">S1004</t>
  </si>
  <si>
    <t xml:space="preserve">S1005</t>
  </si>
  <si>
    <t xml:space="preserve">Laurel HS</t>
  </si>
  <si>
    <t xml:space="preserve">S1006</t>
  </si>
  <si>
    <t xml:space="preserve">S1007</t>
  </si>
  <si>
    <t xml:space="preserve">S1008</t>
  </si>
  <si>
    <t xml:space="preserve">S1009</t>
  </si>
  <si>
    <t xml:space="preserve">S1010</t>
  </si>
  <si>
    <t xml:space="preserve">S1011</t>
  </si>
  <si>
    <t xml:space="preserve">S1012</t>
  </si>
  <si>
    <t xml:space="preserve">S1013</t>
  </si>
  <si>
    <t xml:space="preserve">S1014</t>
  </si>
  <si>
    <t xml:space="preserve">S1015</t>
  </si>
  <si>
    <t xml:space="preserve">S1016</t>
  </si>
  <si>
    <t xml:space="preserve">S1017</t>
  </si>
  <si>
    <t xml:space="preserve">S1018</t>
  </si>
  <si>
    <t xml:space="preserve">S1019</t>
  </si>
  <si>
    <t xml:space="preserve">S1020</t>
  </si>
  <si>
    <t xml:space="preserve">Declined</t>
  </si>
  <si>
    <t xml:space="preserve">S1021</t>
  </si>
  <si>
    <t xml:space="preserve">S1022</t>
  </si>
  <si>
    <t xml:space="preserve">S1023</t>
  </si>
  <si>
    <t xml:space="preserve">S1024</t>
  </si>
  <si>
    <t xml:space="preserve">S1025</t>
  </si>
  <si>
    <t xml:space="preserve">S1026</t>
  </si>
  <si>
    <t xml:space="preserve">S1027</t>
  </si>
  <si>
    <t xml:space="preserve">S1028</t>
  </si>
  <si>
    <t xml:space="preserve">S1029</t>
  </si>
  <si>
    <t xml:space="preserve">S1030</t>
  </si>
  <si>
    <t xml:space="preserve">S1031</t>
  </si>
  <si>
    <t xml:space="preserve">S1032</t>
  </si>
  <si>
    <t xml:space="preserve">S1033</t>
  </si>
  <si>
    <t xml:space="preserve">S1034</t>
  </si>
  <si>
    <t xml:space="preserve">S1035</t>
  </si>
  <si>
    <t xml:space="preserve">S1036</t>
  </si>
  <si>
    <t xml:space="preserve">S1037</t>
  </si>
  <si>
    <t xml:space="preserve">S1038</t>
  </si>
  <si>
    <t xml:space="preserve">S1039</t>
  </si>
  <si>
    <t xml:space="preserve">S1040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</si>
</sst>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0.0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D6480"/>
      <name val="Arial"/>
      <family val="0"/>
      <charset val="1"/>
    </font>
    <font>
      <b val="true"/>
      <sz val="12"/>
      <color rgb="FF1E276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D64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E2761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2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D6480"/>
      <rgbColor rgb="FF8064A2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determination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Dashboard!B5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Dashboard!$A$6:$A$8</c:f>
              <c:strCache>
                <c:ptCount val="3"/>
                <c:pt idx="0">
                  <c:v>Emerging</c:v>
                </c:pt>
                <c:pt idx="1">
                  <c:v>Progressing</c:v>
                </c:pt>
                <c:pt idx="2">
                  <c:v>Proficient</c:v>
                </c:pt>
              </c:strCache>
            </c:strRef>
          </c:cat>
          <c:val>
            <c:numRef>
              <c:f>Dashboard!$B$6:$B$8</c:f>
              <c:numCache>
                <c:formatCode>General</c:formatCode>
                <c:ptCount val="3"/>
                <c:pt idx="0">
                  <c:v>12</c:v>
                </c:pt>
                <c:pt idx="1">
                  <c:v>13</c:v>
                </c:pt>
                <c:pt idx="2">
                  <c:v>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Students at each level,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Listening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Dashboard!$B$14:$B$18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12</c:v>
                </c:pt>
              </c:numCache>
            </c:numRef>
          </c:val>
        </c:ser>
        <c:ser>
          <c:idx val="1"/>
          <c:order val="1"/>
          <c:tx>
            <c:strRef>
              <c:f>Dashboard!C13</c:f>
              <c:strCache>
                <c:ptCount val="1"/>
                <c:pt idx="0">
                  <c:v>Speaking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Dashboard!$C$14:$C$18</c:f>
              <c:numCache>
                <c:formatCode>General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</c:numCache>
            </c:numRef>
          </c:val>
        </c:ser>
        <c:ser>
          <c:idx val="2"/>
          <c:order val="2"/>
          <c:tx>
            <c:strRef>
              <c:f>Dashboard!D13</c:f>
              <c:strCache>
                <c:ptCount val="1"/>
                <c:pt idx="0">
                  <c:v>Reading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Dashboard!$D$14:$D$18</c:f>
              <c:numCache>
                <c:formatCode>General</c:formatCode>
                <c:ptCount val="5"/>
                <c:pt idx="0">
                  <c:v>12</c:v>
                </c:pt>
                <c:pt idx="1">
                  <c:v>6</c:v>
                </c:pt>
                <c:pt idx="2">
                  <c:v>6</c:v>
                </c:pt>
                <c:pt idx="3">
                  <c:v>10</c:v>
                </c:pt>
                <c:pt idx="4">
                  <c:v>2</c:v>
                </c:pt>
              </c:numCache>
            </c:numRef>
          </c:val>
        </c:ser>
        <c:ser>
          <c:idx val="3"/>
          <c:order val="3"/>
          <c:tx>
            <c:strRef>
              <c:f>Dashboard!E13</c:f>
              <c:strCache>
                <c:ptCount val="1"/>
                <c:pt idx="0">
                  <c:v>Writing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Dashboard!$E$14:$E$18</c:f>
              <c:numCache>
                <c:formatCode>General</c:formatCode>
                <c:ptCount val="5"/>
                <c:pt idx="0">
                  <c:v>12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</c:ser>
        <c:gapWidth val="150"/>
        <c:overlap val="100"/>
        <c:axId val="98578431"/>
        <c:axId val="24151603"/>
      </c:barChart>
      <c:catAx>
        <c:axId val="985784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51603"/>
        <c:crosses val="autoZero"/>
        <c:auto val="1"/>
        <c:lblAlgn val="ctr"/>
        <c:lblOffset val="100"/>
        <c:noMultiLvlLbl val="0"/>
      </c:catAx>
      <c:valAx>
        <c:axId val="24151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78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proficient by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Dashboard!D32</c:f>
              <c:strCache>
                <c:ptCount val="1"/>
                <c:pt idx="0">
                  <c:v>% proficient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Dashboard!$A$33:$A$45</c:f>
              <c:strCache>
                <c:ptCount val="13"/>
                <c:pt idx="0">
                  <c:v>K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Dashboard!$D$33:$D$45</c:f>
              <c:numCache>
                <c:formatCode>0.0%</c:formatCode>
                <c:ptCount val="13"/>
                <c:pt idx="0">
                  <c:v>0.6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0.333333333333333</c:v>
                </c:pt>
                <c:pt idx="6">
                  <c:v>0.25</c:v>
                </c:pt>
                <c:pt idx="7">
                  <c:v>0.5</c:v>
                </c:pt>
                <c:pt idx="8">
                  <c:v>0</c:v>
                </c:pt>
                <c:pt idx="9">
                  <c:v>0.4</c:v>
                </c:pt>
                <c:pt idx="10">
                  <c:v>0.4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40549610"/>
        <c:axId val="45664309"/>
      </c:barChart>
      <c:catAx>
        <c:axId val="405496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64309"/>
        <c:crosses val="autoZero"/>
        <c:auto val="1"/>
        <c:lblAlgn val="ctr"/>
        <c:lblOffset val="100"/>
        <c:noMultiLvlLbl val="0"/>
      </c:catAx>
      <c:valAx>
        <c:axId val="45664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49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131040</xdr:rowOff>
    </xdr:from>
    <xdr:to>
      <xdr:col>15</xdr:col>
      <xdr:colOff>181800</xdr:colOff>
      <xdr:row>15</xdr:row>
      <xdr:rowOff>173880</xdr:rowOff>
    </xdr:to>
    <xdr:graphicFrame>
      <xdr:nvGraphicFramePr>
        <xdr:cNvPr id="0" name="Chart 1"/>
        <xdr:cNvGraphicFramePr/>
      </xdr:nvGraphicFramePr>
      <xdr:xfrm>
        <a:off x="11277720" y="569160"/>
        <a:ext cx="323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18</xdr:row>
      <xdr:rowOff>130680</xdr:rowOff>
    </xdr:from>
    <xdr:to>
      <xdr:col>18</xdr:col>
      <xdr:colOff>147240</xdr:colOff>
      <xdr:row>33</xdr:row>
      <xdr:rowOff>152640</xdr:rowOff>
    </xdr:to>
    <xdr:graphicFrame>
      <xdr:nvGraphicFramePr>
        <xdr:cNvPr id="1" name="Chart 2"/>
        <xdr:cNvGraphicFramePr/>
      </xdr:nvGraphicFramePr>
      <xdr:xfrm>
        <a:off x="11277720" y="361692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36</xdr:row>
      <xdr:rowOff>130680</xdr:rowOff>
    </xdr:from>
    <xdr:to>
      <xdr:col>18</xdr:col>
      <xdr:colOff>147240</xdr:colOff>
      <xdr:row>51</xdr:row>
      <xdr:rowOff>152640</xdr:rowOff>
    </xdr:to>
    <xdr:graphicFrame>
      <xdr:nvGraphicFramePr>
        <xdr:cNvPr id="2" name="Chart 3"/>
        <xdr:cNvGraphicFramePr/>
      </xdr:nvGraphicFramePr>
      <xdr:xfrm>
        <a:off x="11277720" y="704592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2" t="s">
        <v>0</v>
      </c>
    </row>
    <row r="3" customFormat="false" ht="39" hidden="false" customHeight="true" outlineLevel="0" collapsed="false">
      <c r="A3" s="3" t="s">
        <v>1</v>
      </c>
      <c r="B3" s="4" t="s">
        <v>2</v>
      </c>
    </row>
    <row r="4" customFormat="false" ht="51.75" hidden="false" customHeight="true" outlineLevel="0" collapsed="false">
      <c r="A4" s="3" t="s">
        <v>3</v>
      </c>
      <c r="B4" s="4" t="s">
        <v>4</v>
      </c>
    </row>
    <row r="5" customFormat="false" ht="39" hidden="false" customHeight="true" outlineLevel="0" collapsed="false">
      <c r="A5" s="3" t="s">
        <v>5</v>
      </c>
      <c r="B5" s="4" t="s">
        <v>6</v>
      </c>
    </row>
    <row r="6" customFormat="false" ht="39" hidden="false" customHeight="true" outlineLevel="0" collapsed="false">
      <c r="A6" s="3" t="s">
        <v>7</v>
      </c>
      <c r="B6" s="4" t="s">
        <v>8</v>
      </c>
    </row>
    <row r="7" customFormat="false" ht="26.25" hidden="false" customHeight="true" outlineLevel="0" collapsed="false">
      <c r="A7" s="3" t="s">
        <v>9</v>
      </c>
      <c r="B7" s="4" t="s">
        <v>10</v>
      </c>
    </row>
    <row r="8" customFormat="false" ht="26.25" hidden="false" customHeight="true" outlineLevel="0" collapsed="false">
      <c r="A8" s="3" t="s">
        <v>11</v>
      </c>
      <c r="B8" s="4" t="s">
        <v>12</v>
      </c>
    </row>
    <row r="10" customFormat="false" ht="15" hidden="false" customHeight="true" outlineLevel="0" collapsed="false">
      <c r="A10" s="5" t="s">
        <v>13</v>
      </c>
      <c r="B10" s="6" t="s">
        <v>14</v>
      </c>
    </row>
    <row r="11" customFormat="false" ht="15" hidden="false" customHeight="true" outlineLevel="0" collapsed="false">
      <c r="A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22"/>
    <col collapsed="false" customWidth="true" hidden="false" outlineLevel="0" max="7" min="6" style="1" width="11"/>
    <col collapsed="false" customWidth="true" hidden="false" outlineLevel="0" max="8" min="8" style="1" width="30"/>
    <col collapsed="false" customWidth="true" hidden="false" outlineLevel="0" max="10" min="9" style="1" width="11"/>
  </cols>
  <sheetData>
    <row r="1" customFormat="false" ht="19.5" hidden="false" customHeight="true" outlineLevel="0" collapsed="false">
      <c r="A1" s="2" t="s">
        <v>15</v>
      </c>
    </row>
    <row r="2" customFormat="false" ht="15" hidden="false" customHeight="true" outlineLevel="0" collapsed="false">
      <c r="A2" s="8" t="str">
        <f aca="true">"Active ELs (status EL or Declined): "&amp;COUNTIFS(Students!O:O,"EL")+COUNTIFS(Students!O:O,"Declined")&amp;"   ·   Monitored: "&amp;COUNTIF(Students!O:O,"Monitored*")&amp;"   ·   Updated "&amp;TEXT(TODAY(),"mmm d, yyyy")</f>
        <v>Active ELs (status EL or Declined): 36   ·   Monitored: 4   ·   Updated Oct 3, 2026</v>
      </c>
    </row>
    <row r="4" customFormat="false" ht="15" hidden="false" customHeight="true" outlineLevel="0" collapsed="false">
      <c r="A4" s="9" t="s">
        <v>16</v>
      </c>
      <c r="E4" s="9" t="s">
        <v>17</v>
      </c>
    </row>
    <row r="5" customFormat="false" ht="15" hidden="false" customHeight="true" outlineLevel="0" collapsed="false">
      <c r="A5" s="10" t="s">
        <v>18</v>
      </c>
      <c r="B5" s="10" t="s">
        <v>19</v>
      </c>
      <c r="C5" s="10" t="s">
        <v>20</v>
      </c>
      <c r="E5" s="10" t="s">
        <v>21</v>
      </c>
      <c r="F5" s="10" t="s">
        <v>22</v>
      </c>
      <c r="G5" s="10" t="s">
        <v>23</v>
      </c>
      <c r="H5" s="10" t="s">
        <v>24</v>
      </c>
    </row>
    <row r="6" customFormat="false" ht="15" hidden="false" customHeight="true" outlineLevel="0" collapsed="false">
      <c r="A6" s="11" t="s">
        <v>25</v>
      </c>
      <c r="B6" s="11" t="n">
        <f aca="false">COUNTIFS(Students!$O:$O,"EL",Students!$J:$J,A6)+COUNTIFS(Students!$O:$O,"Declined",Students!$J:$J,A6)</f>
        <v>12</v>
      </c>
      <c r="C6" s="12" t="n">
        <f aca="false">IF($B$9=0,0,B6/$B$9)</f>
        <v>0.333333333333333</v>
      </c>
      <c r="E6" s="11" t="s">
        <v>26</v>
      </c>
      <c r="F6" s="13" t="n">
        <f aca="false">IFERROR(ROUND((SUMIFS(Students!$F:$F,Students!$O:$O,"EL")+SUMIFS(Students!$F:$F,Students!$O:$O,"Declined"))/$B$9,2),0)</f>
        <v>3.39</v>
      </c>
      <c r="G6" s="7" t="n">
        <f aca="false">COUNTIFS(Students!$O:$O,"EL",Students!$F:$F,"&gt;=4")+COUNTIFS(Students!$O:$O,"Declined",Students!$F:$F,"&gt;=4")</f>
        <v>18</v>
      </c>
      <c r="H6" s="12" t="n">
        <f aca="false">IF($B$9=0,0,G6/$B$9)</f>
        <v>0.5</v>
      </c>
    </row>
    <row r="7" customFormat="false" ht="15" hidden="false" customHeight="true" outlineLevel="0" collapsed="false">
      <c r="A7" s="11" t="s">
        <v>27</v>
      </c>
      <c r="B7" s="11" t="n">
        <f aca="false">COUNTIFS(Students!$O:$O,"EL",Students!$J:$J,A7)+COUNTIFS(Students!$O:$O,"Declined",Students!$J:$J,A7)</f>
        <v>13</v>
      </c>
      <c r="C7" s="12" t="n">
        <f aca="false">IF($B$9=0,0,B7/$B$9)</f>
        <v>0.361111111111111</v>
      </c>
      <c r="E7" s="11" t="s">
        <v>28</v>
      </c>
      <c r="F7" s="13" t="n">
        <f aca="false">IFERROR(ROUND((SUMIFS(Students!$G:$G,Students!$O:$O,"EL")+SUMIFS(Students!$G:$G,Students!$O:$O,"Declined"))/$B$9,2),0)</f>
        <v>2.92</v>
      </c>
      <c r="G7" s="7" t="n">
        <f aca="false">COUNTIFS(Students!$O:$O,"EL",Students!$G:$G,"&gt;=4")+COUNTIFS(Students!$O:$O,"Declined",Students!$G:$G,"&gt;=4")</f>
        <v>15</v>
      </c>
      <c r="H7" s="12" t="n">
        <f aca="false">IF($B$9=0,0,G7/$B$9)</f>
        <v>0.416666666666667</v>
      </c>
    </row>
    <row r="8" customFormat="false" ht="15" hidden="false" customHeight="true" outlineLevel="0" collapsed="false">
      <c r="A8" s="11" t="s">
        <v>29</v>
      </c>
      <c r="B8" s="11" t="n">
        <f aca="false">COUNTIFS(Students!$O:$O,"EL",Students!$J:$J,A8)+COUNTIFS(Students!$O:$O,"Declined",Students!$J:$J,A8)</f>
        <v>11</v>
      </c>
      <c r="C8" s="12" t="n">
        <f aca="false">IF($B$9=0,0,B8/$B$9)</f>
        <v>0.305555555555556</v>
      </c>
      <c r="E8" s="11" t="s">
        <v>30</v>
      </c>
      <c r="F8" s="13" t="n">
        <f aca="false">IFERROR(ROUND((SUMIFS(Students!$H:$H,Students!$O:$O,"EL")+SUMIFS(Students!$H:$H,Students!$O:$O,"Declined"))/$B$9,2),0)</f>
        <v>2.56</v>
      </c>
      <c r="G8" s="7" t="n">
        <f aca="false">COUNTIFS(Students!$O:$O,"EL",Students!$H:$H,"&gt;=4")+COUNTIFS(Students!$O:$O,"Declined",Students!$H:$H,"&gt;=4")</f>
        <v>12</v>
      </c>
      <c r="H8" s="12" t="n">
        <f aca="false">IF($B$9=0,0,G8/$B$9)</f>
        <v>0.333333333333333</v>
      </c>
    </row>
    <row r="9" customFormat="false" ht="15" hidden="false" customHeight="true" outlineLevel="0" collapsed="false">
      <c r="A9" s="14" t="s">
        <v>31</v>
      </c>
      <c r="B9" s="14" t="n">
        <f aca="false">SUM(B6:B8)</f>
        <v>36</v>
      </c>
      <c r="C9" s="12" t="n">
        <f aca="false">IF(B9=0,0,SUM(C6:C8))</f>
        <v>1</v>
      </c>
      <c r="E9" s="11" t="s">
        <v>32</v>
      </c>
      <c r="F9" s="13" t="n">
        <f aca="false">IFERROR(ROUND((SUMIFS(Students!$I:$I,Students!$O:$O,"EL")+SUMIFS(Students!$I:$I,Students!$O:$O,"Declined"))/$B$9,2),0)</f>
        <v>2.81</v>
      </c>
      <c r="G9" s="7" t="n">
        <f aca="false">COUNTIFS(Students!$O:$O,"EL",Students!$I:$I,"&gt;=4")+COUNTIFS(Students!$O:$O,"Declined",Students!$I:$I,"&gt;=4")</f>
        <v>15</v>
      </c>
      <c r="H9" s="12" t="n">
        <f aca="false">IF($B$9=0,0,G9/$B$9)</f>
        <v>0.416666666666667</v>
      </c>
    </row>
    <row r="12" customFormat="false" ht="15" hidden="false" customHeight="true" outlineLevel="0" collapsed="false">
      <c r="A12" s="9" t="s">
        <v>33</v>
      </c>
      <c r="H12" s="9" t="s">
        <v>34</v>
      </c>
    </row>
    <row r="13" customFormat="false" ht="15" hidden="false" customHeight="true" outlineLevel="0" collapsed="false">
      <c r="A13" s="10" t="s">
        <v>35</v>
      </c>
      <c r="B13" s="10" t="s">
        <v>26</v>
      </c>
      <c r="C13" s="10" t="s">
        <v>28</v>
      </c>
      <c r="D13" s="10" t="s">
        <v>30</v>
      </c>
      <c r="E13" s="10" t="s">
        <v>32</v>
      </c>
      <c r="H13" s="10" t="s">
        <v>36</v>
      </c>
      <c r="I13" s="10" t="s">
        <v>37</v>
      </c>
    </row>
    <row r="14" customFormat="false" ht="15" hidden="false" customHeight="true" outlineLevel="0" collapsed="false">
      <c r="A14" s="6" t="n">
        <v>1</v>
      </c>
      <c r="B14" s="7" t="n">
        <f aca="false">COUNTIFS(Students!$O:$O,"EL",Students!$F:$F,$A14)+COUNTIFS(Students!$O:$O,"Declined",Students!$F:$F,$A14)</f>
        <v>4</v>
      </c>
      <c r="C14" s="7" t="n">
        <f aca="false">COUNTIFS(Students!$O:$O,"EL",Students!$G:$G,$A14)+COUNTIFS(Students!$O:$O,"Declined",Students!$G:$G,$A14)</f>
        <v>10</v>
      </c>
      <c r="D14" s="7" t="n">
        <f aca="false">COUNTIFS(Students!$O:$O,"EL",Students!$H:$H,$A14)+COUNTIFS(Students!$O:$O,"Declined",Students!$H:$H,$A14)</f>
        <v>12</v>
      </c>
      <c r="E14" s="7" t="n">
        <f aca="false">COUNTIFS(Students!$O:$O,"EL",Students!$I:$I,$A14)+COUNTIFS(Students!$O:$O,"Declined",Students!$I:$I,$A14)</f>
        <v>12</v>
      </c>
      <c r="H14" s="6" t="s">
        <v>38</v>
      </c>
      <c r="I14" s="7" t="n">
        <f aca="false">COUNTIFS(Students!$O:$O,"EL",Students!$M:$M,"&gt;0")+COUNTIFS(Students!$O:$O,"Declined",Students!$M:$M,"&gt;0")</f>
        <v>30</v>
      </c>
    </row>
    <row r="15" customFormat="false" ht="15" hidden="false" customHeight="true" outlineLevel="0" collapsed="false">
      <c r="A15" s="6" t="n">
        <v>2</v>
      </c>
      <c r="B15" s="7" t="n">
        <f aca="false">COUNTIFS(Students!$O:$O,"EL",Students!$F:$F,$A15)+COUNTIFS(Students!$O:$O,"Declined",Students!$F:$F,$A15)</f>
        <v>8</v>
      </c>
      <c r="C15" s="7" t="n">
        <f aca="false">COUNTIFS(Students!$O:$O,"EL",Students!$G:$G,$A15)+COUNTIFS(Students!$O:$O,"Declined",Students!$G:$G,$A15)</f>
        <v>6</v>
      </c>
      <c r="D15" s="7" t="n">
        <f aca="false">COUNTIFS(Students!$O:$O,"EL",Students!$H:$H,$A15)+COUNTIFS(Students!$O:$O,"Declined",Students!$H:$H,$A15)</f>
        <v>6</v>
      </c>
      <c r="E15" s="7" t="n">
        <f aca="false">COUNTIFS(Students!$O:$O,"EL",Students!$I:$I,$A15)+COUNTIFS(Students!$O:$O,"Declined",Students!$I:$I,$A15)</f>
        <v>5</v>
      </c>
      <c r="H15" s="6" t="s">
        <v>39</v>
      </c>
      <c r="I15" s="7" t="n">
        <f aca="false">IFERROR(ROUND((SUMIFS(Students!$N:$N,Students!$O:$O,"EL")+SUMIFS(Students!$N:$N,Students!$O:$O,"Declined"))/I14,2),0)</f>
        <v>0.4</v>
      </c>
    </row>
    <row r="16" customFormat="false" ht="15" hidden="false" customHeight="true" outlineLevel="0" collapsed="false">
      <c r="A16" s="6" t="n">
        <v>3</v>
      </c>
      <c r="B16" s="7" t="n">
        <f aca="false">COUNTIFS(Students!$O:$O,"EL",Students!$F:$F,$A16)+COUNTIFS(Students!$O:$O,"Declined",Students!$F:$F,$A16)</f>
        <v>6</v>
      </c>
      <c r="C16" s="7" t="n">
        <f aca="false">COUNTIFS(Students!$O:$O,"EL",Students!$G:$G,$A16)+COUNTIFS(Students!$O:$O,"Declined",Students!$G:$G,$A16)</f>
        <v>5</v>
      </c>
      <c r="D16" s="7" t="n">
        <f aca="false">COUNTIFS(Students!$O:$O,"EL",Students!$H:$H,$A16)+COUNTIFS(Students!$O:$O,"Declined",Students!$H:$H,$A16)</f>
        <v>6</v>
      </c>
      <c r="E16" s="7" t="n">
        <f aca="false">COUNTIFS(Students!$O:$O,"EL",Students!$I:$I,$A16)+COUNTIFS(Students!$O:$O,"Declined",Students!$I:$I,$A16)</f>
        <v>4</v>
      </c>
      <c r="H16" s="6" t="s">
        <v>40</v>
      </c>
      <c r="I16" s="7" t="n">
        <f aca="false">COUNTIFS(Students!$O:$O,"EL",Students!$N:$N,"&gt;=0.5")+COUNTIFS(Students!$O:$O,"Declined",Students!$N:$N,"&gt;=0.5")</f>
        <v>21</v>
      </c>
    </row>
    <row r="17" customFormat="false" ht="15" hidden="false" customHeight="true" outlineLevel="0" collapsed="false">
      <c r="A17" s="6" t="n">
        <v>4</v>
      </c>
      <c r="B17" s="7" t="n">
        <f aca="false">COUNTIFS(Students!$O:$O,"EL",Students!$F:$F,$A17)+COUNTIFS(Students!$O:$O,"Declined",Students!$F:$F,$A17)</f>
        <v>6</v>
      </c>
      <c r="C17" s="7" t="n">
        <f aca="false">COUNTIFS(Students!$O:$O,"EL",Students!$G:$G,$A17)+COUNTIFS(Students!$O:$O,"Declined",Students!$G:$G,$A17)</f>
        <v>7</v>
      </c>
      <c r="D17" s="7" t="n">
        <f aca="false">COUNTIFS(Students!$O:$O,"EL",Students!$H:$H,$A17)+COUNTIFS(Students!$O:$O,"Declined",Students!$H:$H,$A17)</f>
        <v>10</v>
      </c>
      <c r="E17" s="7" t="n">
        <f aca="false">COUNTIFS(Students!$O:$O,"EL",Students!$I:$I,$A17)+COUNTIFS(Students!$O:$O,"Declined",Students!$I:$I,$A17)</f>
        <v>8</v>
      </c>
      <c r="H17" s="6" t="s">
        <v>41</v>
      </c>
      <c r="I17" s="7" t="n">
        <f aca="false">COUNTIFS(Students!$O:$O,"EL",Students!$N:$N,"&lt;=0")+COUNTIFS(Students!$O:$O,"Declined",Students!$N:$N,"&lt;=0")</f>
        <v>8</v>
      </c>
    </row>
    <row r="18" customFormat="false" ht="15" hidden="false" customHeight="true" outlineLevel="0" collapsed="false">
      <c r="A18" s="6" t="n">
        <v>5</v>
      </c>
      <c r="B18" s="7" t="n">
        <f aca="false">COUNTIFS(Students!$O:$O,"EL",Students!$F:$F,$A18)+COUNTIFS(Students!$O:$O,"Declined",Students!$F:$F,$A18)</f>
        <v>12</v>
      </c>
      <c r="C18" s="7" t="n">
        <f aca="false">COUNTIFS(Students!$O:$O,"EL",Students!$G:$G,$A18)+COUNTIFS(Students!$O:$O,"Declined",Students!$G:$G,$A18)</f>
        <v>8</v>
      </c>
      <c r="D18" s="7" t="n">
        <f aca="false">COUNTIFS(Students!$O:$O,"EL",Students!$H:$H,$A18)+COUNTIFS(Students!$O:$O,"Declined",Students!$H:$H,$A18)</f>
        <v>2</v>
      </c>
      <c r="E18" s="7" t="n">
        <f aca="false">COUNTIFS(Students!$O:$O,"EL",Students!$I:$I,$A18)+COUNTIFS(Students!$O:$O,"Declined",Students!$I:$I,$A18)</f>
        <v>7</v>
      </c>
      <c r="H18" s="6" t="s">
        <v>42</v>
      </c>
      <c r="I18" s="12" t="n">
        <f aca="false">IF(I14=0,0,I16/I14)</f>
        <v>0.7</v>
      </c>
    </row>
    <row r="21" customFormat="false" ht="15" hidden="false" customHeight="true" outlineLevel="0" collapsed="false">
      <c r="A21" s="9" t="s">
        <v>43</v>
      </c>
      <c r="E21" s="9" t="s">
        <v>44</v>
      </c>
    </row>
    <row r="22" customFormat="false" ht="15" hidden="false" customHeight="true" outlineLevel="0" collapsed="false">
      <c r="A22" s="10" t="s">
        <v>45</v>
      </c>
      <c r="B22" s="10" t="s">
        <v>19</v>
      </c>
      <c r="C22" s="10" t="s">
        <v>46</v>
      </c>
      <c r="E22" s="10" t="s">
        <v>21</v>
      </c>
      <c r="F22" s="10" t="s">
        <v>19</v>
      </c>
    </row>
    <row r="23" customFormat="false" ht="15" hidden="false" customHeight="true" outlineLevel="0" collapsed="false">
      <c r="A23" s="6" t="n">
        <v>1</v>
      </c>
      <c r="B23" s="7" t="n">
        <f aca="false">COUNTIFS(Students!$O:$O,"EL",Students!$E:$E,"1")+COUNTIFS(Students!$O:$O,"Declined",Students!$E:$E,"1")</f>
        <v>6</v>
      </c>
      <c r="C23" s="7" t="n">
        <f aca="false">COUNTIFS(Students!$O:$O,"EL",Students!$E:$E,"1",Students!$K:$K,"Yes")+COUNTIFS(Students!$O:$O,"Declined",Students!$E:$E,"1",Students!$K:$K,"Yes")</f>
        <v>0</v>
      </c>
      <c r="E23" s="6" t="s">
        <v>26</v>
      </c>
      <c r="F23" s="7" t="n">
        <f aca="false">COUNTIFS(Students!$O:$O,"EL",Students!$L:$L,E23)+COUNTIFS(Students!$O:$O,"Declined",Students!$L:$L,E23)</f>
        <v>5</v>
      </c>
    </row>
    <row r="24" customFormat="false" ht="15" hidden="false" customHeight="true" outlineLevel="0" collapsed="false">
      <c r="A24" s="6" t="n">
        <v>2</v>
      </c>
      <c r="B24" s="7" t="n">
        <f aca="false">COUNTIFS(Students!$O:$O,"EL",Students!$E:$E,"2")+COUNTIFS(Students!$O:$O,"Declined",Students!$E:$E,"2")</f>
        <v>9</v>
      </c>
      <c r="C24" s="7" t="n">
        <f aca="false">COUNTIFS(Students!$O:$O,"EL",Students!$E:$E,"2",Students!$K:$K,"Yes")+COUNTIFS(Students!$O:$O,"Declined",Students!$E:$E,"2",Students!$K:$K,"Yes")</f>
        <v>0</v>
      </c>
      <c r="E24" s="6" t="s">
        <v>28</v>
      </c>
      <c r="F24" s="7" t="n">
        <f aca="false">COUNTIFS(Students!$O:$O,"EL",Students!$L:$L,E24)+COUNTIFS(Students!$O:$O,"Declined",Students!$L:$L,E24)</f>
        <v>12</v>
      </c>
    </row>
    <row r="25" customFormat="false" ht="15" hidden="false" customHeight="true" outlineLevel="0" collapsed="false">
      <c r="A25" s="6" t="n">
        <v>3</v>
      </c>
      <c r="B25" s="7" t="n">
        <f aca="false">COUNTIFS(Students!$O:$O,"EL",Students!$E:$E,"3")+COUNTIFS(Students!$O:$O,"Declined",Students!$E:$E,"3")</f>
        <v>5</v>
      </c>
      <c r="C25" s="7" t="n">
        <f aca="false">COUNTIFS(Students!$O:$O,"EL",Students!$E:$E,"3",Students!$K:$K,"Yes")+COUNTIFS(Students!$O:$O,"Declined",Students!$E:$E,"3",Students!$K:$K,"Yes")</f>
        <v>0</v>
      </c>
      <c r="E25" s="6" t="s">
        <v>30</v>
      </c>
      <c r="F25" s="7" t="n">
        <f aca="false">COUNTIFS(Students!$O:$O,"EL",Students!$L:$L,E25)+COUNTIFS(Students!$O:$O,"Declined",Students!$L:$L,E25)</f>
        <v>18</v>
      </c>
    </row>
    <row r="26" customFormat="false" ht="15" hidden="false" customHeight="true" outlineLevel="0" collapsed="false">
      <c r="A26" s="6" t="n">
        <v>4</v>
      </c>
      <c r="B26" s="7" t="n">
        <f aca="false">COUNTIFS(Students!$O:$O,"EL",Students!$E:$E,"4")+COUNTIFS(Students!$O:$O,"Declined",Students!$E:$E,"4")</f>
        <v>5</v>
      </c>
      <c r="C26" s="7" t="n">
        <f aca="false">COUNTIFS(Students!$O:$O,"EL",Students!$E:$E,"4",Students!$K:$K,"Yes")+COUNTIFS(Students!$O:$O,"Declined",Students!$E:$E,"4",Students!$K:$K,"Yes")</f>
        <v>1</v>
      </c>
      <c r="E26" s="6" t="s">
        <v>32</v>
      </c>
      <c r="F26" s="7" t="n">
        <f aca="false">COUNTIFS(Students!$O:$O,"EL",Students!$L:$L,E26)+COUNTIFS(Students!$O:$O,"Declined",Students!$L:$L,E26)</f>
        <v>1</v>
      </c>
    </row>
    <row r="27" customFormat="false" ht="15" hidden="false" customHeight="true" outlineLevel="0" collapsed="false">
      <c r="A27" s="6" t="s">
        <v>47</v>
      </c>
      <c r="B27" s="7" t="n">
        <f aca="false">COUNTIFS(Students!$O:$O,"EL",Students!$E:$E,"&gt;=5")+COUNTIFS(Students!$O:$O,"Declined",Students!$E:$E,"&gt;=5")</f>
        <v>11</v>
      </c>
      <c r="C27" s="7" t="n">
        <f aca="false">COUNTIFS(Students!$O:$O,"EL",Students!$E:$E,"&gt;=5",Students!$K:$K,"Yes")+COUNTIFS(Students!$O:$O,"Declined",Students!$E:$E,"&gt;=5",Students!$K:$K,"Yes")</f>
        <v>10</v>
      </c>
    </row>
    <row r="29" customFormat="false" ht="15" hidden="false" customHeight="true" outlineLevel="0" collapsed="false">
      <c r="A29" s="15" t="s">
        <v>48</v>
      </c>
    </row>
    <row r="31" customFormat="false" ht="15" hidden="false" customHeight="true" outlineLevel="0" collapsed="false">
      <c r="A31" s="9" t="s">
        <v>49</v>
      </c>
      <c r="H31" s="9" t="s">
        <v>50</v>
      </c>
    </row>
    <row r="32" customFormat="false" ht="15" hidden="false" customHeight="true" outlineLevel="0" collapsed="false">
      <c r="A32" s="10" t="s">
        <v>51</v>
      </c>
      <c r="B32" s="10" t="s">
        <v>52</v>
      </c>
      <c r="C32" s="10" t="s">
        <v>29</v>
      </c>
      <c r="D32" s="10" t="s">
        <v>53</v>
      </c>
      <c r="E32" s="10" t="s">
        <v>54</v>
      </c>
      <c r="F32" s="10" t="s">
        <v>55</v>
      </c>
      <c r="H32" s="10" t="s">
        <v>56</v>
      </c>
      <c r="I32" s="10" t="s">
        <v>52</v>
      </c>
    </row>
    <row r="33" customFormat="false" ht="15" hidden="false" customHeight="true" outlineLevel="0" collapsed="false">
      <c r="A33" s="6" t="s">
        <v>57</v>
      </c>
      <c r="B33" s="7" t="n">
        <f aca="false">COUNTIFS(Students!$O:$O,"EL",Students!$C:$C,$A33)+COUNTIFS(Students!$O:$O,"Declined",Students!$C:$C,$A33)</f>
        <v>5</v>
      </c>
      <c r="C33" s="7" t="n">
        <f aca="false">COUNTIFS(Students!$O:$O,"EL",Students!$C:$C,$A33,Students!$K:$K,"Yes")+COUNTIFS(Students!$O:$O,"Declined",Students!$C:$C,$A33,Students!$K:$K,"Yes")</f>
        <v>3</v>
      </c>
      <c r="D33" s="12" t="n">
        <f aca="false">IF(B33=0,0,C33/B33)</f>
        <v>0.6</v>
      </c>
      <c r="E33" s="16" t="n">
        <f aca="false">IFERROR(ROUND((SUMIFS(Students!$E:$E,Students!$O:$O,"EL",Students!$C:$C,$A33)+SUMIFS(Students!$E:$E,Students!$O:$O,"Declined",Students!$C:$C,$A33))/B33,1),0)</f>
        <v>3.8</v>
      </c>
      <c r="F33" s="7" t="n">
        <f aca="false">COUNTIFS(Students!$O:$O,"EL",Students!$C:$C,$A33,Students!$P:$P,"Y")+COUNTIFS(Students!$O:$O,"Declined",Students!$C:$C,$A33,Students!$P:$P,"Y")</f>
        <v>2</v>
      </c>
      <c r="H33" s="17" t="s">
        <v>58</v>
      </c>
      <c r="I33" s="7" t="n">
        <f aca="false">IF(H33="","",COUNTIFS(Students!$O:$O,"EL",Students!$D:$D,H33)+COUNTIFS(Students!$O:$O,"Declined",Students!$D:$D,H33))</f>
        <v>25</v>
      </c>
    </row>
    <row r="34" customFormat="false" ht="15" hidden="false" customHeight="true" outlineLevel="0" collapsed="false">
      <c r="A34" s="6" t="s">
        <v>59</v>
      </c>
      <c r="B34" s="7" t="n">
        <f aca="false">COUNTIFS(Students!$O:$O,"EL",Students!$C:$C,$A34)+COUNTIFS(Students!$O:$O,"Declined",Students!$C:$C,$A34)</f>
        <v>2</v>
      </c>
      <c r="C34" s="7" t="n">
        <f aca="false">COUNTIFS(Students!$O:$O,"EL",Students!$C:$C,$A34,Students!$K:$K,"Yes")+COUNTIFS(Students!$O:$O,"Declined",Students!$C:$C,$A34,Students!$K:$K,"Yes")</f>
        <v>0</v>
      </c>
      <c r="D34" s="12" t="n">
        <f aca="false">IF(B34=0,0,C34/B34)</f>
        <v>0</v>
      </c>
      <c r="E34" s="16" t="n">
        <f aca="false">IFERROR(ROUND((SUMIFS(Students!$E:$E,Students!$O:$O,"EL",Students!$C:$C,$A34)+SUMIFS(Students!$E:$E,Students!$O:$O,"Declined",Students!$C:$C,$A34))/B34,1),0)</f>
        <v>3.5</v>
      </c>
      <c r="F34" s="7" t="n">
        <f aca="false">COUNTIFS(Students!$O:$O,"EL",Students!$C:$C,$A34,Students!$P:$P,"Y")+COUNTIFS(Students!$O:$O,"Declined",Students!$C:$C,$A34,Students!$P:$P,"Y")</f>
        <v>0</v>
      </c>
      <c r="H34" s="17" t="s">
        <v>60</v>
      </c>
      <c r="I34" s="7" t="n">
        <f aca="false">IF(H34="","",COUNTIFS(Students!$O:$O,"EL",Students!$D:$D,H34)+COUNTIFS(Students!$O:$O,"Declined",Students!$D:$D,H34))</f>
        <v>1</v>
      </c>
    </row>
    <row r="35" customFormat="false" ht="15" hidden="false" customHeight="true" outlineLevel="0" collapsed="false">
      <c r="A35" s="6" t="s">
        <v>61</v>
      </c>
      <c r="B35" s="7" t="n">
        <f aca="false">COUNTIFS(Students!$O:$O,"EL",Students!$C:$C,$A35)+COUNTIFS(Students!$O:$O,"Declined",Students!$C:$C,$A35)</f>
        <v>1</v>
      </c>
      <c r="C35" s="7" t="n">
        <f aca="false">COUNTIFS(Students!$O:$O,"EL",Students!$C:$C,$A35,Students!$K:$K,"Yes")+COUNTIFS(Students!$O:$O,"Declined",Students!$C:$C,$A35,Students!$K:$K,"Yes")</f>
        <v>0</v>
      </c>
      <c r="D35" s="12" t="n">
        <f aca="false">IF(B35=0,0,C35/B35)</f>
        <v>0</v>
      </c>
      <c r="E35" s="16" t="n">
        <f aca="false">IFERROR(ROUND((SUMIFS(Students!$E:$E,Students!$O:$O,"EL",Students!$C:$C,$A35)+SUMIFS(Students!$E:$E,Students!$O:$O,"Declined",Students!$C:$C,$A35))/B35,1),0)</f>
        <v>2</v>
      </c>
      <c r="F35" s="7" t="n">
        <f aca="false">COUNTIFS(Students!$O:$O,"EL",Students!$C:$C,$A35,Students!$P:$P,"Y")+COUNTIFS(Students!$O:$O,"Declined",Students!$C:$C,$A35,Students!$P:$P,"Y")</f>
        <v>0</v>
      </c>
      <c r="H35" s="17" t="s">
        <v>62</v>
      </c>
      <c r="I35" s="7" t="n">
        <f aca="false">IF(H35="","",COUNTIFS(Students!$O:$O,"EL",Students!$D:$D,H35)+COUNTIFS(Students!$O:$O,"Declined",Students!$D:$D,H35))</f>
        <v>3</v>
      </c>
    </row>
    <row r="36" customFormat="false" ht="15" hidden="false" customHeight="true" outlineLevel="0" collapsed="false">
      <c r="A36" s="6" t="s">
        <v>63</v>
      </c>
      <c r="B36" s="7" t="n">
        <f aca="false">COUNTIFS(Students!$O:$O,"EL",Students!$C:$C,$A36)+COUNTIFS(Students!$O:$O,"Declined",Students!$C:$C,$A36)</f>
        <v>1</v>
      </c>
      <c r="C36" s="7" t="n">
        <f aca="false">COUNTIFS(Students!$O:$O,"EL",Students!$C:$C,$A36,Students!$K:$K,"Yes")+COUNTIFS(Students!$O:$O,"Declined",Students!$C:$C,$A36,Students!$K:$K,"Yes")</f>
        <v>0</v>
      </c>
      <c r="D36" s="12" t="n">
        <f aca="false">IF(B36=0,0,C36/B36)</f>
        <v>0</v>
      </c>
      <c r="E36" s="16" t="n">
        <f aca="false">IFERROR(ROUND((SUMIFS(Students!$E:$E,Students!$O:$O,"EL",Students!$C:$C,$A36)+SUMIFS(Students!$E:$E,Students!$O:$O,"Declined",Students!$C:$C,$A36))/B36,1),0)</f>
        <v>3</v>
      </c>
      <c r="F36" s="7" t="n">
        <f aca="false">COUNTIFS(Students!$O:$O,"EL",Students!$C:$C,$A36,Students!$P:$P,"Y")+COUNTIFS(Students!$O:$O,"Declined",Students!$C:$C,$A36,Students!$P:$P,"Y")</f>
        <v>0</v>
      </c>
      <c r="H36" s="17" t="s">
        <v>64</v>
      </c>
      <c r="I36" s="7" t="n">
        <f aca="false">IF(H36="","",COUNTIFS(Students!$O:$O,"EL",Students!$D:$D,H36)+COUNTIFS(Students!$O:$O,"Declined",Students!$D:$D,H36))</f>
        <v>3</v>
      </c>
    </row>
    <row r="37" customFormat="false" ht="15" hidden="false" customHeight="true" outlineLevel="0" collapsed="false">
      <c r="A37" s="6" t="s">
        <v>65</v>
      </c>
      <c r="B37" s="7" t="n">
        <f aca="false">COUNTIFS(Students!$O:$O,"EL",Students!$C:$C,$A37)+COUNTIFS(Students!$O:$O,"Declined",Students!$C:$C,$A37)</f>
        <v>1</v>
      </c>
      <c r="C37" s="7" t="n">
        <f aca="false">COUNTIFS(Students!$O:$O,"EL",Students!$C:$C,$A37,Students!$K:$K,"Yes")+COUNTIFS(Students!$O:$O,"Declined",Students!$C:$C,$A37,Students!$K:$K,"Yes")</f>
        <v>0</v>
      </c>
      <c r="D37" s="12" t="n">
        <f aca="false">IF(B37=0,0,C37/B37)</f>
        <v>0</v>
      </c>
      <c r="E37" s="16" t="n">
        <f aca="false">IFERROR(ROUND((SUMIFS(Students!$E:$E,Students!$O:$O,"EL",Students!$C:$C,$A37)+SUMIFS(Students!$E:$E,Students!$O:$O,"Declined",Students!$C:$C,$A37))/B37,1),0)</f>
        <v>1</v>
      </c>
      <c r="F37" s="7" t="n">
        <f aca="false">COUNTIFS(Students!$O:$O,"EL",Students!$C:$C,$A37,Students!$P:$P,"Y")+COUNTIFS(Students!$O:$O,"Declined",Students!$C:$C,$A37,Students!$P:$P,"Y")</f>
        <v>0</v>
      </c>
      <c r="H37" s="17" t="s">
        <v>66</v>
      </c>
      <c r="I37" s="7" t="n">
        <f aca="false">IF(H37="","",COUNTIFS(Students!$O:$O,"EL",Students!$D:$D,H37)+COUNTIFS(Students!$O:$O,"Declined",Students!$D:$D,H37))</f>
        <v>1</v>
      </c>
    </row>
    <row r="38" customFormat="false" ht="15" hidden="false" customHeight="true" outlineLevel="0" collapsed="false">
      <c r="A38" s="6" t="s">
        <v>67</v>
      </c>
      <c r="B38" s="7" t="n">
        <f aca="false">COUNTIFS(Students!$O:$O,"EL",Students!$C:$C,$A38)+COUNTIFS(Students!$O:$O,"Declined",Students!$C:$C,$A38)</f>
        <v>3</v>
      </c>
      <c r="C38" s="7" t="n">
        <f aca="false">COUNTIFS(Students!$O:$O,"EL",Students!$C:$C,$A38,Students!$K:$K,"Yes")+COUNTIFS(Students!$O:$O,"Declined",Students!$C:$C,$A38,Students!$K:$K,"Yes")</f>
        <v>1</v>
      </c>
      <c r="D38" s="12" t="n">
        <f aca="false">IF(B38=0,0,C38/B38)</f>
        <v>0.333333333333333</v>
      </c>
      <c r="E38" s="16" t="n">
        <f aca="false">IFERROR(ROUND((SUMIFS(Students!$E:$E,Students!$O:$O,"EL",Students!$C:$C,$A38)+SUMIFS(Students!$E:$E,Students!$O:$O,"Declined",Students!$C:$C,$A38))/B38,1),0)</f>
        <v>3</v>
      </c>
      <c r="F38" s="7" t="n">
        <f aca="false">COUNTIFS(Students!$O:$O,"EL",Students!$C:$C,$A38,Students!$P:$P,"Y")+COUNTIFS(Students!$O:$O,"Declined",Students!$C:$C,$A38,Students!$P:$P,"Y")</f>
        <v>0</v>
      </c>
      <c r="H38" s="17" t="s">
        <v>68</v>
      </c>
      <c r="I38" s="7" t="n">
        <f aca="false">IF(H38="","",COUNTIFS(Students!$O:$O,"EL",Students!$D:$D,H38)+COUNTIFS(Students!$O:$O,"Declined",Students!$D:$D,H38))</f>
        <v>1</v>
      </c>
    </row>
    <row r="39" customFormat="false" ht="15" hidden="false" customHeight="true" outlineLevel="0" collapsed="false">
      <c r="A39" s="6" t="s">
        <v>69</v>
      </c>
      <c r="B39" s="7" t="n">
        <f aca="false">COUNTIFS(Students!$O:$O,"EL",Students!$C:$C,$A39)+COUNTIFS(Students!$O:$O,"Declined",Students!$C:$C,$A39)</f>
        <v>4</v>
      </c>
      <c r="C39" s="7" t="n">
        <f aca="false">COUNTIFS(Students!$O:$O,"EL",Students!$C:$C,$A39,Students!$K:$K,"Yes")+COUNTIFS(Students!$O:$O,"Declined",Students!$C:$C,$A39,Students!$K:$K,"Yes")</f>
        <v>1</v>
      </c>
      <c r="D39" s="12" t="n">
        <f aca="false">IF(B39=0,0,C39/B39)</f>
        <v>0.25</v>
      </c>
      <c r="E39" s="16" t="n">
        <f aca="false">IFERROR(ROUND((SUMIFS(Students!$E:$E,Students!$O:$O,"EL",Students!$C:$C,$A39)+SUMIFS(Students!$E:$E,Students!$O:$O,"Declined",Students!$C:$C,$A39))/B39,1),0)</f>
        <v>3</v>
      </c>
      <c r="F39" s="7" t="n">
        <f aca="false">COUNTIFS(Students!$O:$O,"EL",Students!$C:$C,$A39,Students!$P:$P,"Y")+COUNTIFS(Students!$O:$O,"Declined",Students!$C:$C,$A39,Students!$P:$P,"Y")</f>
        <v>0</v>
      </c>
      <c r="H39" s="17" t="s">
        <v>70</v>
      </c>
      <c r="I39" s="7" t="n">
        <f aca="false">IF(H39="","",COUNTIFS(Students!$O:$O,"EL",Students!$D:$D,H39)+COUNTIFS(Students!$O:$O,"Declined",Students!$D:$D,H39))</f>
        <v>2</v>
      </c>
    </row>
    <row r="40" customFormat="false" ht="15" hidden="false" customHeight="true" outlineLevel="0" collapsed="false">
      <c r="A40" s="6" t="s">
        <v>71</v>
      </c>
      <c r="B40" s="7" t="n">
        <f aca="false">COUNTIFS(Students!$O:$O,"EL",Students!$C:$C,$A40)+COUNTIFS(Students!$O:$O,"Declined",Students!$C:$C,$A40)</f>
        <v>4</v>
      </c>
      <c r="C40" s="7" t="n">
        <f aca="false">COUNTIFS(Students!$O:$O,"EL",Students!$C:$C,$A40,Students!$K:$K,"Yes")+COUNTIFS(Students!$O:$O,"Declined",Students!$C:$C,$A40,Students!$K:$K,"Yes")</f>
        <v>2</v>
      </c>
      <c r="D40" s="12" t="n">
        <f aca="false">IF(B40=0,0,C40/B40)</f>
        <v>0.5</v>
      </c>
      <c r="E40" s="16" t="n">
        <f aca="false">IFERROR(ROUND((SUMIFS(Students!$E:$E,Students!$O:$O,"EL",Students!$C:$C,$A40)+SUMIFS(Students!$E:$E,Students!$O:$O,"Declined",Students!$C:$C,$A40))/B40,1),0)</f>
        <v>4.3</v>
      </c>
      <c r="F40" s="7" t="n">
        <f aca="false">COUNTIFS(Students!$O:$O,"EL",Students!$C:$C,$A40,Students!$P:$P,"Y")+COUNTIFS(Students!$O:$O,"Declined",Students!$C:$C,$A40,Students!$P:$P,"Y")</f>
        <v>1</v>
      </c>
      <c r="H40" s="17"/>
      <c r="I40" s="7" t="str">
        <f aca="false">IF(H40="","",COUNTIFS(Students!$O:$O,"EL",Students!$D:$D,H40)+COUNTIFS(Students!$O:$O,"Declined",Students!$D:$D,H40))</f>
        <v/>
      </c>
    </row>
    <row r="41" customFormat="false" ht="15" hidden="false" customHeight="true" outlineLevel="0" collapsed="false">
      <c r="A41" s="6" t="s">
        <v>72</v>
      </c>
      <c r="B41" s="7" t="n">
        <f aca="false">COUNTIFS(Students!$O:$O,"EL",Students!$C:$C,$A41)+COUNTIFS(Students!$O:$O,"Declined",Students!$C:$C,$A41)</f>
        <v>1</v>
      </c>
      <c r="C41" s="7" t="n">
        <f aca="false">COUNTIFS(Students!$O:$O,"EL",Students!$C:$C,$A41,Students!$K:$K,"Yes")+COUNTIFS(Students!$O:$O,"Declined",Students!$C:$C,$A41,Students!$K:$K,"Yes")</f>
        <v>0</v>
      </c>
      <c r="D41" s="12" t="n">
        <f aca="false">IF(B41=0,0,C41/B41)</f>
        <v>0</v>
      </c>
      <c r="E41" s="16" t="n">
        <f aca="false">IFERROR(ROUND((SUMIFS(Students!$E:$E,Students!$O:$O,"EL",Students!$C:$C,$A41)+SUMIFS(Students!$E:$E,Students!$O:$O,"Declined",Students!$C:$C,$A41))/B41,1),0)</f>
        <v>2</v>
      </c>
      <c r="F41" s="7" t="n">
        <f aca="false">COUNTIFS(Students!$O:$O,"EL",Students!$C:$C,$A41,Students!$P:$P,"Y")+COUNTIFS(Students!$O:$O,"Declined",Students!$C:$C,$A41,Students!$P:$P,"Y")</f>
        <v>1</v>
      </c>
    </row>
    <row r="42" customFormat="false" ht="15" hidden="false" customHeight="true" outlineLevel="0" collapsed="false">
      <c r="A42" s="6" t="s">
        <v>73</v>
      </c>
      <c r="B42" s="7" t="n">
        <f aca="false">COUNTIFS(Students!$O:$O,"EL",Students!$C:$C,$A42)+COUNTIFS(Students!$O:$O,"Declined",Students!$C:$C,$A42)</f>
        <v>5</v>
      </c>
      <c r="C42" s="7" t="n">
        <f aca="false">COUNTIFS(Students!$O:$O,"EL",Students!$C:$C,$A42,Students!$K:$K,"Yes")+COUNTIFS(Students!$O:$O,"Declined",Students!$C:$C,$A42,Students!$K:$K,"Yes")</f>
        <v>2</v>
      </c>
      <c r="D42" s="12" t="n">
        <f aca="false">IF(B42=0,0,C42/B42)</f>
        <v>0.4</v>
      </c>
      <c r="E42" s="16" t="n">
        <f aca="false">IFERROR(ROUND((SUMIFS(Students!$E:$E,Students!$O:$O,"EL",Students!$C:$C,$A42)+SUMIFS(Students!$E:$E,Students!$O:$O,"Declined",Students!$C:$C,$A42))/B42,1),0)</f>
        <v>4</v>
      </c>
      <c r="F42" s="7" t="n">
        <f aca="false">COUNTIFS(Students!$O:$O,"EL",Students!$C:$C,$A42,Students!$P:$P,"Y")+COUNTIFS(Students!$O:$O,"Declined",Students!$C:$C,$A42,Students!$P:$P,"Y")</f>
        <v>0</v>
      </c>
    </row>
    <row r="43" customFormat="false" ht="15" hidden="false" customHeight="true" outlineLevel="0" collapsed="false">
      <c r="A43" s="6" t="s">
        <v>74</v>
      </c>
      <c r="B43" s="7" t="n">
        <f aca="false">COUNTIFS(Students!$O:$O,"EL",Students!$C:$C,$A43)+COUNTIFS(Students!$O:$O,"Declined",Students!$C:$C,$A43)</f>
        <v>5</v>
      </c>
      <c r="C43" s="7" t="n">
        <f aca="false">COUNTIFS(Students!$O:$O,"EL",Students!$C:$C,$A43,Students!$K:$K,"Yes")+COUNTIFS(Students!$O:$O,"Declined",Students!$C:$C,$A43,Students!$K:$K,"Yes")</f>
        <v>2</v>
      </c>
      <c r="D43" s="12" t="n">
        <f aca="false">IF(B43=0,0,C43/B43)</f>
        <v>0.4</v>
      </c>
      <c r="E43" s="16" t="n">
        <f aca="false">IFERROR(ROUND((SUMIFS(Students!$E:$E,Students!$O:$O,"EL",Students!$C:$C,$A43)+SUMIFS(Students!$E:$E,Students!$O:$O,"Declined",Students!$C:$C,$A43))/B43,1),0)</f>
        <v>3.6</v>
      </c>
      <c r="F43" s="7" t="n">
        <f aca="false">COUNTIFS(Students!$O:$O,"EL",Students!$C:$C,$A43,Students!$P:$P,"Y")+COUNTIFS(Students!$O:$O,"Declined",Students!$C:$C,$A43,Students!$P:$P,"Y")</f>
        <v>0</v>
      </c>
    </row>
    <row r="44" customFormat="false" ht="15" hidden="false" customHeight="true" outlineLevel="0" collapsed="false">
      <c r="A44" s="6" t="s">
        <v>75</v>
      </c>
      <c r="B44" s="7" t="n">
        <f aca="false">COUNTIFS(Students!$O:$O,"EL",Students!$C:$C,$A44)+COUNTIFS(Students!$O:$O,"Declined",Students!$C:$C,$A44)</f>
        <v>2</v>
      </c>
      <c r="C44" s="7" t="n">
        <f aca="false">COUNTIFS(Students!$O:$O,"EL",Students!$C:$C,$A44,Students!$K:$K,"Yes")+COUNTIFS(Students!$O:$O,"Declined",Students!$C:$C,$A44,Students!$K:$K,"Yes")</f>
        <v>0</v>
      </c>
      <c r="D44" s="12" t="n">
        <f aca="false">IF(B44=0,0,C44/B44)</f>
        <v>0</v>
      </c>
      <c r="E44" s="16" t="n">
        <f aca="false">IFERROR(ROUND((SUMIFS(Students!$E:$E,Students!$O:$O,"EL",Students!$C:$C,$A44)+SUMIFS(Students!$E:$E,Students!$O:$O,"Declined",Students!$C:$C,$A44))/B44,1),0)</f>
        <v>1.5</v>
      </c>
      <c r="F44" s="7" t="n">
        <f aca="false">COUNTIFS(Students!$O:$O,"EL",Students!$C:$C,$A44,Students!$P:$P,"Y")+COUNTIFS(Students!$O:$O,"Declined",Students!$C:$C,$A44,Students!$P:$P,"Y")</f>
        <v>0</v>
      </c>
    </row>
    <row r="45" customFormat="false" ht="15" hidden="false" customHeight="true" outlineLevel="0" collapsed="false">
      <c r="A45" s="6" t="s">
        <v>76</v>
      </c>
      <c r="B45" s="7" t="n">
        <f aca="false">COUNTIFS(Students!$O:$O,"EL",Students!$C:$C,$A45)+COUNTIFS(Students!$O:$O,"Declined",Students!$C:$C,$A45)</f>
        <v>2</v>
      </c>
      <c r="C45" s="7" t="n">
        <f aca="false">COUNTIFS(Students!$O:$O,"EL",Students!$C:$C,$A45,Students!$K:$K,"Yes")+COUNTIFS(Students!$O:$O,"Declined",Students!$C:$C,$A45,Students!$K:$K,"Yes")</f>
        <v>0</v>
      </c>
      <c r="D45" s="12" t="n">
        <f aca="false">IF(B45=0,0,C45/B45)</f>
        <v>0</v>
      </c>
      <c r="E45" s="16" t="n">
        <f aca="false">IFERROR(ROUND((SUMIFS(Students!$E:$E,Students!$O:$O,"EL",Students!$C:$C,$A45)+SUMIFS(Students!$E:$E,Students!$O:$O,"Declined",Students!$C:$C,$A45))/B45,1),0)</f>
        <v>3</v>
      </c>
      <c r="F45" s="7" t="n">
        <f aca="false">COUNTIFS(Students!$O:$O,"EL",Students!$C:$C,$A45,Students!$P:$P,"Y")+COUNTIFS(Students!$O:$O,"Declined",Students!$C:$C,$A45,Students!$P:$P,"Y")</f>
        <v>0</v>
      </c>
    </row>
    <row r="46" customFormat="false" ht="15" hidden="false" customHeight="true" outlineLevel="0" collapsed="false">
      <c r="A46" s="5" t="s">
        <v>31</v>
      </c>
      <c r="B46" s="5" t="n">
        <f aca="false">SUM(B33:B45)</f>
        <v>36</v>
      </c>
      <c r="C46" s="5" t="n">
        <f aca="false">SUM(C33:C45)</f>
        <v>11</v>
      </c>
      <c r="D46" s="18" t="n">
        <f aca="false">IF(B46=0,0,C46/B46)</f>
        <v>0.305555555555556</v>
      </c>
      <c r="E46" s="5" t="n">
        <f aca="false">IFERROR(ROUND((SUMIFS(Students!$E:$E,Students!$O:$O,"EL")+SUMIFS(Students!$E:$E,Students!$O:$O,"Declined"))/B46,1),0)</f>
        <v>3.3</v>
      </c>
      <c r="F46" s="5" t="n">
        <f aca="false">SUM(F33:F45)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9" min="6" style="1" width="9"/>
    <col collapsed="false" customWidth="true" hidden="false" outlineLevel="0" max="10" min="10" style="1" width="15"/>
    <col collapsed="false" customWidth="true" hidden="false" outlineLevel="0" max="11" min="11" style="1" width="12"/>
    <col collapsed="false" customWidth="true" hidden="false" outlineLevel="0" max="12" min="12" style="1" width="15"/>
    <col collapsed="false" customWidth="true" hidden="false" outlineLevel="0" max="13" min="13" style="1" width="11"/>
    <col collapsed="false" customWidth="true" hidden="false" outlineLevel="0" max="14" min="14" style="1" width="10"/>
    <col collapsed="false" customWidth="true" hidden="false" outlineLevel="0" max="15" min="15" style="1" width="13"/>
    <col collapsed="false" customWidth="true" hidden="false" outlineLevel="0" max="16" min="16" style="1" width="6"/>
    <col collapsed="false" customWidth="true" hidden="false" outlineLevel="0" max="17" min="17" style="1" width="24"/>
  </cols>
  <sheetData>
    <row r="1" customFormat="false" ht="31.5" hidden="false" customHeight="true" outlineLevel="0" collapsed="false">
      <c r="A1" s="19" t="s">
        <v>77</v>
      </c>
      <c r="B1" s="19" t="s">
        <v>78</v>
      </c>
      <c r="C1" s="19" t="s">
        <v>51</v>
      </c>
      <c r="D1" s="19" t="s">
        <v>79</v>
      </c>
      <c r="E1" s="19" t="s">
        <v>80</v>
      </c>
      <c r="F1" s="19" t="s">
        <v>26</v>
      </c>
      <c r="G1" s="19" t="s">
        <v>28</v>
      </c>
      <c r="H1" s="19" t="s">
        <v>30</v>
      </c>
      <c r="I1" s="19" t="s">
        <v>32</v>
      </c>
      <c r="J1" s="19" t="s">
        <v>81</v>
      </c>
      <c r="K1" s="19" t="s">
        <v>82</v>
      </c>
      <c r="L1" s="19" t="s">
        <v>83</v>
      </c>
      <c r="M1" s="19" t="s">
        <v>84</v>
      </c>
      <c r="N1" s="19" t="s">
        <v>85</v>
      </c>
      <c r="O1" s="19" t="s">
        <v>86</v>
      </c>
      <c r="P1" s="19" t="s">
        <v>55</v>
      </c>
      <c r="Q1" s="19" t="s">
        <v>87</v>
      </c>
    </row>
    <row r="2" customFormat="false" ht="15" hidden="false" customHeight="true" outlineLevel="0" collapsed="false">
      <c r="A2" s="17" t="s">
        <v>88</v>
      </c>
      <c r="B2" s="17" t="s">
        <v>89</v>
      </c>
      <c r="C2" s="17" t="s">
        <v>67</v>
      </c>
      <c r="D2" s="17" t="s">
        <v>58</v>
      </c>
      <c r="E2" s="17" t="n">
        <v>3</v>
      </c>
      <c r="F2" s="17" t="n">
        <v>3</v>
      </c>
      <c r="G2" s="17" t="n">
        <v>3</v>
      </c>
      <c r="H2" s="17" t="n">
        <v>2</v>
      </c>
      <c r="I2" s="17" t="n">
        <v>2</v>
      </c>
      <c r="J2" s="6" t="str">
        <f aca="false">IF(F2="","",IF(AND(F2&gt;=4,G2&gt;=4,H2&gt;=4,I2&gt;=4),"Proficient",IF(AND(F2&lt;=2,G2&lt;=2,H2&lt;=2,I2&lt;=2),"Emerging","Progressing")))</f>
        <v>Progressing</v>
      </c>
      <c r="K2" s="6" t="str">
        <f aca="false">IF(F2="","",IF(J2="Proficient","Yes","No"))</f>
        <v>No</v>
      </c>
      <c r="L2" s="6" t="str">
        <f aca="false">IF(F2="","",INDEX({"Listening","Speaking","Reading","Writing"},MATCH(MIN(F2:I2),F2:I2,0)))</f>
        <v>Reading</v>
      </c>
      <c r="M2" s="17" t="n">
        <v>2</v>
      </c>
      <c r="N2" s="6" t="n">
        <f aca="false">IF(OR(F2="",M2=""),"",ROUND(AVERAGE(F2:I2)-M2,1))</f>
        <v>0.5</v>
      </c>
      <c r="O2" s="17" t="s">
        <v>90</v>
      </c>
      <c r="P2" s="17" t="s">
        <v>91</v>
      </c>
      <c r="Q2" s="17"/>
    </row>
    <row r="3" customFormat="false" ht="15" hidden="false" customHeight="true" outlineLevel="0" collapsed="false">
      <c r="A3" s="17" t="s">
        <v>92</v>
      </c>
      <c r="B3" s="17" t="s">
        <v>93</v>
      </c>
      <c r="C3" s="17" t="s">
        <v>72</v>
      </c>
      <c r="D3" s="17" t="s">
        <v>58</v>
      </c>
      <c r="E3" s="17" t="n">
        <v>2</v>
      </c>
      <c r="F3" s="17" t="n">
        <v>1</v>
      </c>
      <c r="G3" s="17" t="n">
        <v>1</v>
      </c>
      <c r="H3" s="17" t="n">
        <v>1</v>
      </c>
      <c r="I3" s="17" t="n">
        <v>1</v>
      </c>
      <c r="J3" s="6" t="str">
        <f aca="false">IF(F3="","",IF(AND(F3&gt;=4,G3&gt;=4,H3&gt;=4,I3&gt;=4),"Proficient",IF(AND(F3&lt;=2,G3&lt;=2,H3&lt;=2,I3&lt;=2),"Emerging","Progressing")))</f>
        <v>Emerging</v>
      </c>
      <c r="K3" s="6" t="str">
        <f aca="false">IF(F3="","",IF(J3="Proficient","Yes","No"))</f>
        <v>No</v>
      </c>
      <c r="L3" s="6" t="str">
        <f aca="false">IF(F3="","",INDEX({"Listening","Speaking","Reading","Writing"},MATCH(MIN(F3:I3),F3:I3,0)))</f>
        <v>Listening</v>
      </c>
      <c r="M3" s="17" t="n">
        <v>1</v>
      </c>
      <c r="N3" s="6" t="n">
        <f aca="false">IF(OR(F3="",M3=""),"",ROUND(AVERAGE(F3:I3)-M3,1))</f>
        <v>0</v>
      </c>
      <c r="O3" s="17" t="s">
        <v>90</v>
      </c>
      <c r="P3" s="17" t="s">
        <v>94</v>
      </c>
      <c r="Q3" s="17"/>
    </row>
    <row r="4" customFormat="false" ht="15" hidden="false" customHeight="true" outlineLevel="0" collapsed="false">
      <c r="A4" s="17" t="s">
        <v>95</v>
      </c>
      <c r="B4" s="17" t="s">
        <v>93</v>
      </c>
      <c r="C4" s="17" t="s">
        <v>73</v>
      </c>
      <c r="D4" s="17" t="s">
        <v>58</v>
      </c>
      <c r="E4" s="17" t="n">
        <v>1</v>
      </c>
      <c r="F4" s="17" t="n">
        <v>2</v>
      </c>
      <c r="G4" s="17" t="n">
        <v>1</v>
      </c>
      <c r="H4" s="17" t="n">
        <v>1</v>
      </c>
      <c r="I4" s="17" t="n">
        <v>1</v>
      </c>
      <c r="J4" s="6" t="str">
        <f aca="false">IF(F4="","",IF(AND(F4&gt;=4,G4&gt;=4,H4&gt;=4,I4&gt;=4),"Proficient",IF(AND(F4&lt;=2,G4&lt;=2,H4&lt;=2,I4&lt;=2),"Emerging","Progressing")))</f>
        <v>Emerging</v>
      </c>
      <c r="K4" s="6" t="str">
        <f aca="false">IF(F4="","",IF(J4="Proficient","Yes","No"))</f>
        <v>No</v>
      </c>
      <c r="L4" s="6" t="str">
        <f aca="false">IF(F4="","",INDEX({"Listening","Speaking","Reading","Writing"},MATCH(MIN(F4:I4),F4:I4,0)))</f>
        <v>Speaking</v>
      </c>
      <c r="M4" s="17"/>
      <c r="N4" s="6" t="str">
        <f aca="false">IF(OR(F4="",M4=""),"",ROUND(AVERAGE(F4:I4)-M4,1))</f>
        <v/>
      </c>
      <c r="O4" s="17" t="s">
        <v>96</v>
      </c>
      <c r="P4" s="17" t="s">
        <v>91</v>
      </c>
      <c r="Q4" s="17"/>
    </row>
    <row r="5" customFormat="false" ht="15" hidden="false" customHeight="true" outlineLevel="0" collapsed="false">
      <c r="A5" s="17" t="s">
        <v>97</v>
      </c>
      <c r="B5" s="17" t="s">
        <v>89</v>
      </c>
      <c r="C5" s="17" t="s">
        <v>65</v>
      </c>
      <c r="D5" s="17" t="s">
        <v>58</v>
      </c>
      <c r="E5" s="17" t="n">
        <v>1</v>
      </c>
      <c r="F5" s="17" t="n">
        <v>1</v>
      </c>
      <c r="G5" s="17" t="n">
        <v>1</v>
      </c>
      <c r="H5" s="17" t="n">
        <v>1</v>
      </c>
      <c r="I5" s="17" t="n">
        <v>1</v>
      </c>
      <c r="J5" s="6" t="str">
        <f aca="false">IF(F5="","",IF(AND(F5&gt;=4,G5&gt;=4,H5&gt;=4,I5&gt;=4),"Proficient",IF(AND(F5&lt;=2,G5&lt;=2,H5&lt;=2,I5&lt;=2),"Emerging","Progressing")))</f>
        <v>Emerging</v>
      </c>
      <c r="K5" s="6" t="str">
        <f aca="false">IF(F5="","",IF(J5="Proficient","Yes","No"))</f>
        <v>No</v>
      </c>
      <c r="L5" s="6" t="str">
        <f aca="false">IF(F5="","",INDEX({"Listening","Speaking","Reading","Writing"},MATCH(MIN(F5:I5),F5:I5,0)))</f>
        <v>Listening</v>
      </c>
      <c r="M5" s="17"/>
      <c r="N5" s="6" t="str">
        <f aca="false">IF(OR(F5="",M5=""),"",ROUND(AVERAGE(F5:I5)-M5,1))</f>
        <v/>
      </c>
      <c r="O5" s="17" t="s">
        <v>96</v>
      </c>
      <c r="P5" s="17" t="s">
        <v>91</v>
      </c>
      <c r="Q5" s="17"/>
    </row>
    <row r="6" customFormat="false" ht="15" hidden="false" customHeight="true" outlineLevel="0" collapsed="false">
      <c r="A6" s="17" t="s">
        <v>98</v>
      </c>
      <c r="B6" s="17" t="s">
        <v>99</v>
      </c>
      <c r="C6" s="17" t="s">
        <v>73</v>
      </c>
      <c r="D6" s="17" t="s">
        <v>62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1</v>
      </c>
      <c r="J6" s="6" t="str">
        <f aca="false">IF(F6="","",IF(AND(F6&gt;=4,G6&gt;=4,H6&gt;=4,I6&gt;=4),"Proficient",IF(AND(F6&lt;=2,G6&lt;=2,H6&lt;=2,I6&lt;=2),"Emerging","Progressing")))</f>
        <v>Emerging</v>
      </c>
      <c r="K6" s="6" t="str">
        <f aca="false">IF(F6="","",IF(J6="Proficient","Yes","No"))</f>
        <v>No</v>
      </c>
      <c r="L6" s="6" t="str">
        <f aca="false">IF(F6="","",INDEX({"Listening","Speaking","Reading","Writing"},MATCH(MIN(F6:I6),F6:I6,0)))</f>
        <v>Writing</v>
      </c>
      <c r="M6" s="17" t="n">
        <v>1</v>
      </c>
      <c r="N6" s="6" t="n">
        <f aca="false">IF(OR(F6="",M6=""),"",ROUND(AVERAGE(F6:I6)-M6,1))</f>
        <v>0.8</v>
      </c>
      <c r="O6" s="17" t="s">
        <v>90</v>
      </c>
      <c r="P6" s="17" t="s">
        <v>91</v>
      </c>
      <c r="Q6" s="17"/>
    </row>
    <row r="7" customFormat="false" ht="15" hidden="false" customHeight="true" outlineLevel="0" collapsed="false">
      <c r="A7" s="17" t="s">
        <v>100</v>
      </c>
      <c r="B7" s="17" t="s">
        <v>99</v>
      </c>
      <c r="C7" s="17" t="s">
        <v>74</v>
      </c>
      <c r="D7" s="17" t="s">
        <v>58</v>
      </c>
      <c r="E7" s="17" t="n">
        <v>4</v>
      </c>
      <c r="F7" s="17" t="n">
        <v>4</v>
      </c>
      <c r="G7" s="17" t="n">
        <v>4</v>
      </c>
      <c r="H7" s="17" t="n">
        <v>3</v>
      </c>
      <c r="I7" s="17" t="n">
        <v>4</v>
      </c>
      <c r="J7" s="6" t="str">
        <f aca="false">IF(F7="","",IF(AND(F7&gt;=4,G7&gt;=4,H7&gt;=4,I7&gt;=4),"Proficient",IF(AND(F7&lt;=2,G7&lt;=2,H7&lt;=2,I7&lt;=2),"Emerging","Progressing")))</f>
        <v>Progressing</v>
      </c>
      <c r="K7" s="6" t="str">
        <f aca="false">IF(F7="","",IF(J7="Proficient","Yes","No"))</f>
        <v>No</v>
      </c>
      <c r="L7" s="6" t="str">
        <f aca="false">IF(F7="","",INDEX({"Listening","Speaking","Reading","Writing"},MATCH(MIN(F7:I7),F7:I7,0)))</f>
        <v>Reading</v>
      </c>
      <c r="M7" s="17" t="n">
        <v>3</v>
      </c>
      <c r="N7" s="6" t="n">
        <f aca="false">IF(OR(F7="",M7=""),"",ROUND(AVERAGE(F7:I7)-M7,1))</f>
        <v>0.8</v>
      </c>
      <c r="O7" s="17" t="s">
        <v>90</v>
      </c>
      <c r="P7" s="17" t="s">
        <v>91</v>
      </c>
      <c r="Q7" s="17"/>
    </row>
    <row r="8" customFormat="false" ht="15" hidden="false" customHeight="true" outlineLevel="0" collapsed="false">
      <c r="A8" s="17" t="s">
        <v>101</v>
      </c>
      <c r="B8" s="17" t="s">
        <v>89</v>
      </c>
      <c r="C8" s="17" t="s">
        <v>59</v>
      </c>
      <c r="D8" s="17" t="s">
        <v>58</v>
      </c>
      <c r="E8" s="17" t="n">
        <v>3</v>
      </c>
      <c r="F8" s="17" t="n">
        <v>4</v>
      </c>
      <c r="G8" s="17" t="n">
        <v>4</v>
      </c>
      <c r="H8" s="17" t="n">
        <v>3</v>
      </c>
      <c r="I8" s="17" t="n">
        <v>4</v>
      </c>
      <c r="J8" s="6" t="str">
        <f aca="false">IF(F8="","",IF(AND(F8&gt;=4,G8&gt;=4,H8&gt;=4,I8&gt;=4),"Proficient",IF(AND(F8&lt;=2,G8&lt;=2,H8&lt;=2,I8&lt;=2),"Emerging","Progressing")))</f>
        <v>Progressing</v>
      </c>
      <c r="K8" s="6" t="str">
        <f aca="false">IF(F8="","",IF(J8="Proficient","Yes","No"))</f>
        <v>No</v>
      </c>
      <c r="L8" s="6" t="str">
        <f aca="false">IF(F8="","",INDEX({"Listening","Speaking","Reading","Writing"},MATCH(MIN(F8:I8),F8:I8,0)))</f>
        <v>Reading</v>
      </c>
      <c r="M8" s="17" t="n">
        <v>3</v>
      </c>
      <c r="N8" s="6" t="n">
        <f aca="false">IF(OR(F8="",M8=""),"",ROUND(AVERAGE(F8:I8)-M8,1))</f>
        <v>0.8</v>
      </c>
      <c r="O8" s="17" t="s">
        <v>90</v>
      </c>
      <c r="P8" s="17" t="s">
        <v>91</v>
      </c>
      <c r="Q8" s="17"/>
    </row>
    <row r="9" customFormat="false" ht="15" hidden="false" customHeight="true" outlineLevel="0" collapsed="false">
      <c r="A9" s="17" t="s">
        <v>102</v>
      </c>
      <c r="B9" s="17" t="s">
        <v>93</v>
      </c>
      <c r="C9" s="17" t="s">
        <v>74</v>
      </c>
      <c r="D9" s="17" t="s">
        <v>58</v>
      </c>
      <c r="E9" s="17" t="n">
        <v>3</v>
      </c>
      <c r="F9" s="17" t="n">
        <v>3</v>
      </c>
      <c r="G9" s="17" t="n">
        <v>3</v>
      </c>
      <c r="H9" s="17" t="n">
        <v>2</v>
      </c>
      <c r="I9" s="17" t="n">
        <v>2</v>
      </c>
      <c r="J9" s="6" t="str">
        <f aca="false">IF(F9="","",IF(AND(F9&gt;=4,G9&gt;=4,H9&gt;=4,I9&gt;=4),"Proficient",IF(AND(F9&lt;=2,G9&lt;=2,H9&lt;=2,I9&lt;=2),"Emerging","Progressing")))</f>
        <v>Progressing</v>
      </c>
      <c r="K9" s="6" t="str">
        <f aca="false">IF(F9="","",IF(J9="Proficient","Yes","No"))</f>
        <v>No</v>
      </c>
      <c r="L9" s="6" t="str">
        <f aca="false">IF(F9="","",INDEX({"Listening","Speaking","Reading","Writing"},MATCH(MIN(F9:I9),F9:I9,0)))</f>
        <v>Reading</v>
      </c>
      <c r="M9" s="17" t="n">
        <v>2</v>
      </c>
      <c r="N9" s="6" t="n">
        <f aca="false">IF(OR(F9="",M9=""),"",ROUND(AVERAGE(F9:I9)-M9,1))</f>
        <v>0.5</v>
      </c>
      <c r="O9" s="17" t="s">
        <v>96</v>
      </c>
      <c r="P9" s="17" t="s">
        <v>91</v>
      </c>
      <c r="Q9" s="17"/>
    </row>
    <row r="10" customFormat="false" ht="15" hidden="false" customHeight="true" outlineLevel="0" collapsed="false">
      <c r="A10" s="17" t="s">
        <v>103</v>
      </c>
      <c r="B10" s="17" t="s">
        <v>89</v>
      </c>
      <c r="C10" s="17" t="s">
        <v>57</v>
      </c>
      <c r="D10" s="17" t="s">
        <v>58</v>
      </c>
      <c r="E10" s="17" t="n">
        <v>5</v>
      </c>
      <c r="F10" s="17" t="n">
        <v>5</v>
      </c>
      <c r="G10" s="17" t="n">
        <v>4</v>
      </c>
      <c r="H10" s="17" t="n">
        <v>4</v>
      </c>
      <c r="I10" s="17" t="n">
        <v>5</v>
      </c>
      <c r="J10" s="6" t="str">
        <f aca="false">IF(F10="","",IF(AND(F10&gt;=4,G10&gt;=4,H10&gt;=4,I10&gt;=4),"Proficient",IF(AND(F10&lt;=2,G10&lt;=2,H10&lt;=2,I10&lt;=2),"Emerging","Progressing")))</f>
        <v>Proficient</v>
      </c>
      <c r="K10" s="6" t="str">
        <f aca="false">IF(F10="","",IF(J10="Proficient","Yes","No"))</f>
        <v>Yes</v>
      </c>
      <c r="L10" s="6" t="str">
        <f aca="false">IF(F10="","",INDEX({"Listening","Speaking","Reading","Writing"},MATCH(MIN(F10:I10),F10:I10,0)))</f>
        <v>Speaking</v>
      </c>
      <c r="M10" s="17" t="n">
        <v>4</v>
      </c>
      <c r="N10" s="6" t="n">
        <f aca="false">IF(OR(F10="",M10=""),"",ROUND(AVERAGE(F10:I10)-M10,1))</f>
        <v>0.5</v>
      </c>
      <c r="O10" s="17" t="s">
        <v>90</v>
      </c>
      <c r="P10" s="17" t="s">
        <v>94</v>
      </c>
      <c r="Q10" s="17"/>
    </row>
    <row r="11" customFormat="false" ht="15" hidden="false" customHeight="true" outlineLevel="0" collapsed="false">
      <c r="A11" s="17" t="s">
        <v>104</v>
      </c>
      <c r="B11" s="17" t="s">
        <v>99</v>
      </c>
      <c r="C11" s="17" t="s">
        <v>67</v>
      </c>
      <c r="D11" s="17" t="s">
        <v>70</v>
      </c>
      <c r="E11" s="17" t="n">
        <v>5</v>
      </c>
      <c r="F11" s="17" t="n">
        <v>5</v>
      </c>
      <c r="G11" s="17" t="n">
        <v>5</v>
      </c>
      <c r="H11" s="17" t="n">
        <v>5</v>
      </c>
      <c r="I11" s="17" t="n">
        <v>5</v>
      </c>
      <c r="J11" s="6" t="str">
        <f aca="false">IF(F11="","",IF(AND(F11&gt;=4,G11&gt;=4,H11&gt;=4,I11&gt;=4),"Proficient",IF(AND(F11&lt;=2,G11&lt;=2,H11&lt;=2,I11&lt;=2),"Emerging","Progressing")))</f>
        <v>Proficient</v>
      </c>
      <c r="K11" s="6" t="str">
        <f aca="false">IF(F11="","",IF(J11="Proficient","Yes","No"))</f>
        <v>Yes</v>
      </c>
      <c r="L11" s="6" t="str">
        <f aca="false">IF(F11="","",INDEX({"Listening","Speaking","Reading","Writing"},MATCH(MIN(F11:I11),F11:I11,0)))</f>
        <v>Listening</v>
      </c>
      <c r="M11" s="17" t="n">
        <v>5</v>
      </c>
      <c r="N11" s="6" t="n">
        <f aca="false">IF(OR(F11="",M11=""),"",ROUND(AVERAGE(F11:I11)-M11,1))</f>
        <v>0</v>
      </c>
      <c r="O11" s="17" t="s">
        <v>90</v>
      </c>
      <c r="P11" s="17" t="s">
        <v>91</v>
      </c>
      <c r="Q11" s="17"/>
    </row>
    <row r="12" customFormat="false" ht="15" hidden="false" customHeight="true" outlineLevel="0" collapsed="false">
      <c r="A12" s="17" t="s">
        <v>105</v>
      </c>
      <c r="B12" s="17" t="s">
        <v>93</v>
      </c>
      <c r="C12" s="17" t="s">
        <v>76</v>
      </c>
      <c r="D12" s="17" t="s">
        <v>58</v>
      </c>
      <c r="E12" s="17" t="n">
        <v>5</v>
      </c>
      <c r="F12" s="17" t="n">
        <v>4</v>
      </c>
      <c r="G12" s="17" t="n">
        <v>4</v>
      </c>
      <c r="H12" s="17" t="n">
        <v>3</v>
      </c>
      <c r="I12" s="17" t="n">
        <v>3</v>
      </c>
      <c r="J12" s="6" t="str">
        <f aca="false">IF(F12="","",IF(AND(F12&gt;=4,G12&gt;=4,H12&gt;=4,I12&gt;=4),"Proficient",IF(AND(F12&lt;=2,G12&lt;=2,H12&lt;=2,I12&lt;=2),"Emerging","Progressing")))</f>
        <v>Progressing</v>
      </c>
      <c r="K12" s="6" t="str">
        <f aca="false">IF(F12="","",IF(J12="Proficient","Yes","No"))</f>
        <v>No</v>
      </c>
      <c r="L12" s="6" t="str">
        <f aca="false">IF(F12="","",INDEX({"Listening","Speaking","Reading","Writing"},MATCH(MIN(F12:I12),F12:I12,0)))</f>
        <v>Reading</v>
      </c>
      <c r="M12" s="17" t="n">
        <v>3</v>
      </c>
      <c r="N12" s="6" t="n">
        <f aca="false">IF(OR(F12="",M12=""),"",ROUND(AVERAGE(F12:I12)-M12,1))</f>
        <v>0.5</v>
      </c>
      <c r="O12" s="17" t="s">
        <v>90</v>
      </c>
      <c r="P12" s="17" t="s">
        <v>91</v>
      </c>
      <c r="Q12" s="17"/>
    </row>
    <row r="13" customFormat="false" ht="15" hidden="false" customHeight="true" outlineLevel="0" collapsed="false">
      <c r="A13" s="17" t="s">
        <v>106</v>
      </c>
      <c r="B13" s="17" t="s">
        <v>93</v>
      </c>
      <c r="C13" s="17" t="s">
        <v>74</v>
      </c>
      <c r="D13" s="17" t="s">
        <v>58</v>
      </c>
      <c r="E13" s="17" t="n">
        <v>5</v>
      </c>
      <c r="F13" s="17" t="n">
        <v>5</v>
      </c>
      <c r="G13" s="17" t="n">
        <v>5</v>
      </c>
      <c r="H13" s="17" t="n">
        <v>4</v>
      </c>
      <c r="I13" s="17" t="n">
        <v>5</v>
      </c>
      <c r="J13" s="6" t="str">
        <f aca="false">IF(F13="","",IF(AND(F13&gt;=4,G13&gt;=4,H13&gt;=4,I13&gt;=4),"Proficient",IF(AND(F13&lt;=2,G13&lt;=2,H13&lt;=2,I13&lt;=2),"Emerging","Progressing")))</f>
        <v>Proficient</v>
      </c>
      <c r="K13" s="6" t="str">
        <f aca="false">IF(F13="","",IF(J13="Proficient","Yes","No"))</f>
        <v>Yes</v>
      </c>
      <c r="L13" s="6" t="str">
        <f aca="false">IF(F13="","",INDEX({"Listening","Speaking","Reading","Writing"},MATCH(MIN(F13:I13),F13:I13,0)))</f>
        <v>Reading</v>
      </c>
      <c r="M13" s="17" t="n">
        <v>4</v>
      </c>
      <c r="N13" s="6" t="n">
        <f aca="false">IF(OR(F13="",M13=""),"",ROUND(AVERAGE(F13:I13)-M13,1))</f>
        <v>0.8</v>
      </c>
      <c r="O13" s="17" t="s">
        <v>90</v>
      </c>
      <c r="P13" s="17" t="s">
        <v>91</v>
      </c>
      <c r="Q13" s="17"/>
    </row>
    <row r="14" customFormat="false" ht="15" hidden="false" customHeight="true" outlineLevel="0" collapsed="false">
      <c r="A14" s="17" t="s">
        <v>107</v>
      </c>
      <c r="B14" s="17" t="s">
        <v>93</v>
      </c>
      <c r="C14" s="17" t="s">
        <v>57</v>
      </c>
      <c r="D14" s="17" t="s">
        <v>68</v>
      </c>
      <c r="E14" s="17" t="n">
        <v>2</v>
      </c>
      <c r="F14" s="17" t="n">
        <v>2</v>
      </c>
      <c r="G14" s="17" t="n">
        <v>1</v>
      </c>
      <c r="H14" s="17" t="n">
        <v>1</v>
      </c>
      <c r="I14" s="17" t="n">
        <v>1</v>
      </c>
      <c r="J14" s="6" t="str">
        <f aca="false">IF(F14="","",IF(AND(F14&gt;=4,G14&gt;=4,H14&gt;=4,I14&gt;=4),"Proficient",IF(AND(F14&lt;=2,G14&lt;=2,H14&lt;=2,I14&lt;=2),"Emerging","Progressing")))</f>
        <v>Emerging</v>
      </c>
      <c r="K14" s="6" t="str">
        <f aca="false">IF(F14="","",IF(J14="Proficient","Yes","No"))</f>
        <v>No</v>
      </c>
      <c r="L14" s="6" t="str">
        <f aca="false">IF(F14="","",INDEX({"Listening","Speaking","Reading","Writing"},MATCH(MIN(F14:I14),F14:I14,0)))</f>
        <v>Speaking</v>
      </c>
      <c r="M14" s="17" t="n">
        <v>1</v>
      </c>
      <c r="N14" s="6" t="n">
        <f aca="false">IF(OR(F14="",M14=""),"",ROUND(AVERAGE(F14:I14)-M14,1))</f>
        <v>0.3</v>
      </c>
      <c r="O14" s="17" t="s">
        <v>90</v>
      </c>
      <c r="P14" s="17" t="s">
        <v>91</v>
      </c>
      <c r="Q14" s="17"/>
    </row>
    <row r="15" customFormat="false" ht="15" hidden="false" customHeight="true" outlineLevel="0" collapsed="false">
      <c r="A15" s="17" t="s">
        <v>108</v>
      </c>
      <c r="B15" s="17" t="s">
        <v>99</v>
      </c>
      <c r="C15" s="17" t="s">
        <v>67</v>
      </c>
      <c r="D15" s="17" t="s">
        <v>64</v>
      </c>
      <c r="E15" s="17" t="n">
        <v>3</v>
      </c>
      <c r="F15" s="17" t="n">
        <v>3</v>
      </c>
      <c r="G15" s="17" t="n">
        <v>2</v>
      </c>
      <c r="H15" s="17" t="n">
        <v>2</v>
      </c>
      <c r="I15" s="17" t="n">
        <v>3</v>
      </c>
      <c r="J15" s="6" t="str">
        <f aca="false">IF(F15="","",IF(AND(F15&gt;=4,G15&gt;=4,H15&gt;=4,I15&gt;=4),"Proficient",IF(AND(F15&lt;=2,G15&lt;=2,H15&lt;=2,I15&lt;=2),"Emerging","Progressing")))</f>
        <v>Progressing</v>
      </c>
      <c r="K15" s="6" t="str">
        <f aca="false">IF(F15="","",IF(J15="Proficient","Yes","No"))</f>
        <v>No</v>
      </c>
      <c r="L15" s="6" t="str">
        <f aca="false">IF(F15="","",INDEX({"Listening","Speaking","Reading","Writing"},MATCH(MIN(F15:I15),F15:I15,0)))</f>
        <v>Speaking</v>
      </c>
      <c r="M15" s="17" t="n">
        <v>2</v>
      </c>
      <c r="N15" s="6" t="n">
        <f aca="false">IF(OR(F15="",M15=""),"",ROUND(AVERAGE(F15:I15)-M15,1))</f>
        <v>0.5</v>
      </c>
      <c r="O15" s="17" t="s">
        <v>96</v>
      </c>
      <c r="P15" s="17" t="s">
        <v>94</v>
      </c>
      <c r="Q15" s="17"/>
    </row>
    <row r="16" customFormat="false" ht="15" hidden="false" customHeight="true" outlineLevel="0" collapsed="false">
      <c r="A16" s="17" t="s">
        <v>109</v>
      </c>
      <c r="B16" s="17" t="s">
        <v>99</v>
      </c>
      <c r="C16" s="17" t="s">
        <v>69</v>
      </c>
      <c r="D16" s="17" t="s">
        <v>62</v>
      </c>
      <c r="E16" s="17" t="n">
        <v>1</v>
      </c>
      <c r="F16" s="17" t="n">
        <v>3</v>
      </c>
      <c r="G16" s="17" t="n">
        <v>2</v>
      </c>
      <c r="H16" s="17" t="n">
        <v>1</v>
      </c>
      <c r="I16" s="17" t="n">
        <v>2</v>
      </c>
      <c r="J16" s="6" t="str">
        <f aca="false">IF(F16="","",IF(AND(F16&gt;=4,G16&gt;=4,H16&gt;=4,I16&gt;=4),"Proficient",IF(AND(F16&lt;=2,G16&lt;=2,H16&lt;=2,I16&lt;=2),"Emerging","Progressing")))</f>
        <v>Progressing</v>
      </c>
      <c r="K16" s="6" t="str">
        <f aca="false">IF(F16="","",IF(J16="Proficient","Yes","No"))</f>
        <v>No</v>
      </c>
      <c r="L16" s="6" t="str">
        <f aca="false">IF(F16="","",INDEX({"Listening","Speaking","Reading","Writing"},MATCH(MIN(F16:I16),F16:I16,0)))</f>
        <v>Reading</v>
      </c>
      <c r="M16" s="17"/>
      <c r="N16" s="6" t="str">
        <f aca="false">IF(OR(F16="",M16=""),"",ROUND(AVERAGE(F16:I16)-M16,1))</f>
        <v/>
      </c>
      <c r="O16" s="17" t="s">
        <v>90</v>
      </c>
      <c r="P16" s="17" t="s">
        <v>91</v>
      </c>
      <c r="Q16" s="17"/>
    </row>
    <row r="17" customFormat="false" ht="15" hidden="false" customHeight="true" outlineLevel="0" collapsed="false">
      <c r="A17" s="17" t="s">
        <v>110</v>
      </c>
      <c r="B17" s="17" t="s">
        <v>89</v>
      </c>
      <c r="C17" s="17" t="s">
        <v>67</v>
      </c>
      <c r="D17" s="17" t="s">
        <v>58</v>
      </c>
      <c r="E17" s="17" t="n">
        <v>1</v>
      </c>
      <c r="F17" s="17" t="n">
        <v>1</v>
      </c>
      <c r="G17" s="17" t="n">
        <v>1</v>
      </c>
      <c r="H17" s="17" t="n">
        <v>1</v>
      </c>
      <c r="I17" s="17" t="n">
        <v>1</v>
      </c>
      <c r="J17" s="6" t="str">
        <f aca="false">IF(F17="","",IF(AND(F17&gt;=4,G17&gt;=4,H17&gt;=4,I17&gt;=4),"Proficient",IF(AND(F17&lt;=2,G17&lt;=2,H17&lt;=2,I17&lt;=2),"Emerging","Progressing")))</f>
        <v>Emerging</v>
      </c>
      <c r="K17" s="6" t="str">
        <f aca="false">IF(F17="","",IF(J17="Proficient","Yes","No"))</f>
        <v>No</v>
      </c>
      <c r="L17" s="6" t="str">
        <f aca="false">IF(F17="","",INDEX({"Listening","Speaking","Reading","Writing"},MATCH(MIN(F17:I17),F17:I17,0)))</f>
        <v>Listening</v>
      </c>
      <c r="M17" s="17"/>
      <c r="N17" s="6" t="str">
        <f aca="false">IF(OR(F17="",M17=""),"",ROUND(AVERAGE(F17:I17)-M17,1))</f>
        <v/>
      </c>
      <c r="O17" s="17" t="s">
        <v>90</v>
      </c>
      <c r="P17" s="17" t="s">
        <v>91</v>
      </c>
      <c r="Q17" s="17"/>
    </row>
    <row r="18" customFormat="false" ht="15" hidden="false" customHeight="true" outlineLevel="0" collapsed="false">
      <c r="A18" s="17" t="s">
        <v>111</v>
      </c>
      <c r="B18" s="17" t="s">
        <v>99</v>
      </c>
      <c r="C18" s="17" t="s">
        <v>75</v>
      </c>
      <c r="D18" s="17" t="s">
        <v>70</v>
      </c>
      <c r="E18" s="17" t="n">
        <v>1</v>
      </c>
      <c r="F18" s="17" t="n">
        <v>2</v>
      </c>
      <c r="G18" s="17" t="n">
        <v>1</v>
      </c>
      <c r="H18" s="17" t="n">
        <v>1</v>
      </c>
      <c r="I18" s="17" t="n">
        <v>1</v>
      </c>
      <c r="J18" s="6" t="str">
        <f aca="false">IF(F18="","",IF(AND(F18&gt;=4,G18&gt;=4,H18&gt;=4,I18&gt;=4),"Proficient",IF(AND(F18&lt;=2,G18&lt;=2,H18&lt;=2,I18&lt;=2),"Emerging","Progressing")))</f>
        <v>Emerging</v>
      </c>
      <c r="K18" s="6" t="str">
        <f aca="false">IF(F18="","",IF(J18="Proficient","Yes","No"))</f>
        <v>No</v>
      </c>
      <c r="L18" s="6" t="str">
        <f aca="false">IF(F18="","",INDEX({"Listening","Speaking","Reading","Writing"},MATCH(MIN(F18:I18),F18:I18,0)))</f>
        <v>Speaking</v>
      </c>
      <c r="M18" s="17"/>
      <c r="N18" s="6" t="str">
        <f aca="false">IF(OR(F18="",M18=""),"",ROUND(AVERAGE(F18:I18)-M18,1))</f>
        <v/>
      </c>
      <c r="O18" s="17" t="s">
        <v>90</v>
      </c>
      <c r="P18" s="17" t="s">
        <v>91</v>
      </c>
      <c r="Q18" s="17"/>
    </row>
    <row r="19" customFormat="false" ht="15" hidden="false" customHeight="true" outlineLevel="0" collapsed="false">
      <c r="A19" s="17" t="s">
        <v>112</v>
      </c>
      <c r="B19" s="17" t="s">
        <v>93</v>
      </c>
      <c r="C19" s="17" t="s">
        <v>75</v>
      </c>
      <c r="D19" s="17" t="s">
        <v>60</v>
      </c>
      <c r="E19" s="17" t="n">
        <v>2</v>
      </c>
      <c r="F19" s="17" t="n">
        <v>2</v>
      </c>
      <c r="G19" s="17" t="n">
        <v>2</v>
      </c>
      <c r="H19" s="17" t="n">
        <v>1</v>
      </c>
      <c r="I19" s="17" t="n">
        <v>2</v>
      </c>
      <c r="J19" s="6" t="str">
        <f aca="false">IF(F19="","",IF(AND(F19&gt;=4,G19&gt;=4,H19&gt;=4,I19&gt;=4),"Proficient",IF(AND(F19&lt;=2,G19&lt;=2,H19&lt;=2,I19&lt;=2),"Emerging","Progressing")))</f>
        <v>Emerging</v>
      </c>
      <c r="K19" s="6" t="str">
        <f aca="false">IF(F19="","",IF(J19="Proficient","Yes","No"))</f>
        <v>No</v>
      </c>
      <c r="L19" s="6" t="str">
        <f aca="false">IF(F19="","",INDEX({"Listening","Speaking","Reading","Writing"},MATCH(MIN(F19:I19),F19:I19,0)))</f>
        <v>Reading</v>
      </c>
      <c r="M19" s="17" t="n">
        <v>2</v>
      </c>
      <c r="N19" s="6" t="n">
        <f aca="false">IF(OR(F19="",M19=""),"",ROUND(AVERAGE(F19:I19)-M19,1))</f>
        <v>-0.3</v>
      </c>
      <c r="O19" s="17" t="s">
        <v>90</v>
      </c>
      <c r="P19" s="17" t="s">
        <v>91</v>
      </c>
      <c r="Q19" s="17"/>
    </row>
    <row r="20" customFormat="false" ht="15" hidden="false" customHeight="true" outlineLevel="0" collapsed="false">
      <c r="A20" s="17" t="s">
        <v>113</v>
      </c>
      <c r="B20" s="17" t="s">
        <v>89</v>
      </c>
      <c r="C20" s="17" t="s">
        <v>71</v>
      </c>
      <c r="D20" s="17" t="s">
        <v>58</v>
      </c>
      <c r="E20" s="17" t="n">
        <v>5</v>
      </c>
      <c r="F20" s="17" t="n">
        <v>5</v>
      </c>
      <c r="G20" s="17" t="n">
        <v>4</v>
      </c>
      <c r="H20" s="17" t="n">
        <v>4</v>
      </c>
      <c r="I20" s="17" t="n">
        <v>5</v>
      </c>
      <c r="J20" s="6" t="str">
        <f aca="false">IF(F20="","",IF(AND(F20&gt;=4,G20&gt;=4,H20&gt;=4,I20&gt;=4),"Proficient",IF(AND(F20&lt;=2,G20&lt;=2,H20&lt;=2,I20&lt;=2),"Emerging","Progressing")))</f>
        <v>Proficient</v>
      </c>
      <c r="K20" s="6" t="str">
        <f aca="false">IF(F20="","",IF(J20="Proficient","Yes","No"))</f>
        <v>Yes</v>
      </c>
      <c r="L20" s="6" t="str">
        <f aca="false">IF(F20="","",INDEX({"Listening","Speaking","Reading","Writing"},MATCH(MIN(F20:I20),F20:I20,0)))</f>
        <v>Speaking</v>
      </c>
      <c r="M20" s="17" t="n">
        <v>4</v>
      </c>
      <c r="N20" s="6" t="n">
        <f aca="false">IF(OR(F20="",M20=""),"",ROUND(AVERAGE(F20:I20)-M20,1))</f>
        <v>0.5</v>
      </c>
      <c r="O20" s="17" t="s">
        <v>90</v>
      </c>
      <c r="P20" s="17" t="s">
        <v>91</v>
      </c>
      <c r="Q20" s="17"/>
    </row>
    <row r="21" customFormat="false" ht="15" hidden="false" customHeight="true" outlineLevel="0" collapsed="false">
      <c r="A21" s="17" t="s">
        <v>114</v>
      </c>
      <c r="B21" s="17" t="s">
        <v>89</v>
      </c>
      <c r="C21" s="17" t="s">
        <v>65</v>
      </c>
      <c r="D21" s="17" t="s">
        <v>58</v>
      </c>
      <c r="E21" s="17" t="n">
        <v>1</v>
      </c>
      <c r="F21" s="17" t="n">
        <v>2</v>
      </c>
      <c r="G21" s="17" t="n">
        <v>1</v>
      </c>
      <c r="H21" s="17" t="n">
        <v>1</v>
      </c>
      <c r="I21" s="17" t="n">
        <v>1</v>
      </c>
      <c r="J21" s="6" t="str">
        <f aca="false">IF(F21="","",IF(AND(F21&gt;=4,G21&gt;=4,H21&gt;=4,I21&gt;=4),"Proficient",IF(AND(F21&lt;=2,G21&lt;=2,H21&lt;=2,I21&lt;=2),"Emerging","Progressing")))</f>
        <v>Emerging</v>
      </c>
      <c r="K21" s="6" t="str">
        <f aca="false">IF(F21="","",IF(J21="Proficient","Yes","No"))</f>
        <v>No</v>
      </c>
      <c r="L21" s="6" t="str">
        <f aca="false">IF(F21="","",INDEX({"Listening","Speaking","Reading","Writing"},MATCH(MIN(F21:I21),F21:I21,0)))</f>
        <v>Speaking</v>
      </c>
      <c r="M21" s="17"/>
      <c r="N21" s="6" t="str">
        <f aca="false">IF(OR(F21="",M21=""),"",ROUND(AVERAGE(F21:I21)-M21,1))</f>
        <v/>
      </c>
      <c r="O21" s="17" t="s">
        <v>115</v>
      </c>
      <c r="P21" s="17" t="s">
        <v>91</v>
      </c>
      <c r="Q21" s="17"/>
    </row>
    <row r="22" customFormat="false" ht="15" hidden="false" customHeight="true" outlineLevel="0" collapsed="false">
      <c r="A22" s="17" t="s">
        <v>116</v>
      </c>
      <c r="B22" s="17" t="s">
        <v>99</v>
      </c>
      <c r="C22" s="17" t="s">
        <v>73</v>
      </c>
      <c r="D22" s="17" t="s">
        <v>58</v>
      </c>
      <c r="E22" s="17" t="n">
        <v>6</v>
      </c>
      <c r="F22" s="17" t="n">
        <v>5</v>
      </c>
      <c r="G22" s="17" t="n">
        <v>5</v>
      </c>
      <c r="H22" s="17" t="n">
        <v>4</v>
      </c>
      <c r="I22" s="17" t="n">
        <v>5</v>
      </c>
      <c r="J22" s="6" t="str">
        <f aca="false">IF(F22="","",IF(AND(F22&gt;=4,G22&gt;=4,H22&gt;=4,I22&gt;=4),"Proficient",IF(AND(F22&lt;=2,G22&lt;=2,H22&lt;=2,I22&lt;=2),"Emerging","Progressing")))</f>
        <v>Proficient</v>
      </c>
      <c r="K22" s="6" t="str">
        <f aca="false">IF(F22="","",IF(J22="Proficient","Yes","No"))</f>
        <v>Yes</v>
      </c>
      <c r="L22" s="6" t="str">
        <f aca="false">IF(F22="","",INDEX({"Listening","Speaking","Reading","Writing"},MATCH(MIN(F22:I22),F22:I22,0)))</f>
        <v>Reading</v>
      </c>
      <c r="M22" s="17" t="n">
        <v>4</v>
      </c>
      <c r="N22" s="6" t="n">
        <f aca="false">IF(OR(F22="",M22=""),"",ROUND(AVERAGE(F22:I22)-M22,1))</f>
        <v>0.8</v>
      </c>
      <c r="O22" s="17" t="s">
        <v>90</v>
      </c>
      <c r="P22" s="17" t="s">
        <v>91</v>
      </c>
      <c r="Q22" s="17"/>
    </row>
    <row r="23" customFormat="false" ht="15" hidden="false" customHeight="true" outlineLevel="0" collapsed="false">
      <c r="A23" s="17" t="s">
        <v>117</v>
      </c>
      <c r="B23" s="17" t="s">
        <v>93</v>
      </c>
      <c r="C23" s="17" t="s">
        <v>71</v>
      </c>
      <c r="D23" s="17" t="s">
        <v>58</v>
      </c>
      <c r="E23" s="17" t="n">
        <v>2</v>
      </c>
      <c r="F23" s="17" t="n">
        <v>3</v>
      </c>
      <c r="G23" s="17" t="n">
        <v>2</v>
      </c>
      <c r="H23" s="17" t="n">
        <v>1</v>
      </c>
      <c r="I23" s="17" t="n">
        <v>1</v>
      </c>
      <c r="J23" s="6" t="str">
        <f aca="false">IF(F23="","",IF(AND(F23&gt;=4,G23&gt;=4,H23&gt;=4,I23&gt;=4),"Proficient",IF(AND(F23&lt;=2,G23&lt;=2,H23&lt;=2,I23&lt;=2),"Emerging","Progressing")))</f>
        <v>Progressing</v>
      </c>
      <c r="K23" s="6" t="str">
        <f aca="false">IF(F23="","",IF(J23="Proficient","Yes","No"))</f>
        <v>No</v>
      </c>
      <c r="L23" s="6" t="str">
        <f aca="false">IF(F23="","",INDEX({"Listening","Speaking","Reading","Writing"},MATCH(MIN(F23:I23),F23:I23,0)))</f>
        <v>Reading</v>
      </c>
      <c r="M23" s="17" t="n">
        <v>2</v>
      </c>
      <c r="N23" s="6" t="n">
        <f aca="false">IF(OR(F23="",M23=""),"",ROUND(AVERAGE(F23:I23)-M23,1))</f>
        <v>-0.3</v>
      </c>
      <c r="O23" s="17" t="s">
        <v>90</v>
      </c>
      <c r="P23" s="17" t="s">
        <v>94</v>
      </c>
      <c r="Q23" s="17"/>
    </row>
    <row r="24" customFormat="false" ht="15" hidden="false" customHeight="true" outlineLevel="0" collapsed="false">
      <c r="A24" s="17" t="s">
        <v>118</v>
      </c>
      <c r="B24" s="17" t="s">
        <v>93</v>
      </c>
      <c r="C24" s="17" t="s">
        <v>63</v>
      </c>
      <c r="D24" s="17" t="s">
        <v>58</v>
      </c>
      <c r="E24" s="17" t="n">
        <v>3</v>
      </c>
      <c r="F24" s="17" t="n">
        <v>5</v>
      </c>
      <c r="G24" s="17" t="n">
        <v>4</v>
      </c>
      <c r="H24" s="17" t="n">
        <v>3</v>
      </c>
      <c r="I24" s="17" t="n">
        <v>3</v>
      </c>
      <c r="J24" s="6" t="str">
        <f aca="false">IF(F24="","",IF(AND(F24&gt;=4,G24&gt;=4,H24&gt;=4,I24&gt;=4),"Proficient",IF(AND(F24&lt;=2,G24&lt;=2,H24&lt;=2,I24&lt;=2),"Emerging","Progressing")))</f>
        <v>Progressing</v>
      </c>
      <c r="K24" s="6" t="str">
        <f aca="false">IF(F24="","",IF(J24="Proficient","Yes","No"))</f>
        <v>No</v>
      </c>
      <c r="L24" s="6" t="str">
        <f aca="false">IF(F24="","",INDEX({"Listening","Speaking","Reading","Writing"},MATCH(MIN(F24:I24),F24:I24,0)))</f>
        <v>Reading</v>
      </c>
      <c r="M24" s="17" t="n">
        <v>4</v>
      </c>
      <c r="N24" s="6" t="n">
        <f aca="false">IF(OR(F24="",M24=""),"",ROUND(AVERAGE(F24:I24)-M24,1))</f>
        <v>-0.3</v>
      </c>
      <c r="O24" s="17" t="s">
        <v>90</v>
      </c>
      <c r="P24" s="17" t="s">
        <v>91</v>
      </c>
      <c r="Q24" s="17"/>
    </row>
    <row r="25" customFormat="false" ht="15" hidden="false" customHeight="true" outlineLevel="0" collapsed="false">
      <c r="A25" s="17" t="s">
        <v>119</v>
      </c>
      <c r="B25" s="17" t="s">
        <v>89</v>
      </c>
      <c r="C25" s="17" t="s">
        <v>74</v>
      </c>
      <c r="D25" s="17" t="s">
        <v>58</v>
      </c>
      <c r="E25" s="17" t="n">
        <v>2</v>
      </c>
      <c r="F25" s="17" t="n">
        <v>4</v>
      </c>
      <c r="G25" s="17" t="n">
        <v>3</v>
      </c>
      <c r="H25" s="17" t="n">
        <v>2</v>
      </c>
      <c r="I25" s="17" t="n">
        <v>3</v>
      </c>
      <c r="J25" s="6" t="str">
        <f aca="false">IF(F25="","",IF(AND(F25&gt;=4,G25&gt;=4,H25&gt;=4,I25&gt;=4),"Proficient",IF(AND(F25&lt;=2,G25&lt;=2,H25&lt;=2,I25&lt;=2),"Emerging","Progressing")))</f>
        <v>Progressing</v>
      </c>
      <c r="K25" s="6" t="str">
        <f aca="false">IF(F25="","",IF(J25="Proficient","Yes","No"))</f>
        <v>No</v>
      </c>
      <c r="L25" s="6" t="str">
        <f aca="false">IF(F25="","",INDEX({"Listening","Speaking","Reading","Writing"},MATCH(MIN(F25:I25),F25:I25,0)))</f>
        <v>Reading</v>
      </c>
      <c r="M25" s="17" t="n">
        <v>2</v>
      </c>
      <c r="N25" s="6" t="n">
        <f aca="false">IF(OR(F25="",M25=""),"",ROUND(AVERAGE(F25:I25)-M25,1))</f>
        <v>1</v>
      </c>
      <c r="O25" s="17" t="s">
        <v>90</v>
      </c>
      <c r="P25" s="17" t="s">
        <v>91</v>
      </c>
      <c r="Q25" s="17"/>
    </row>
    <row r="26" customFormat="false" ht="15" hidden="false" customHeight="true" outlineLevel="0" collapsed="false">
      <c r="A26" s="17" t="s">
        <v>120</v>
      </c>
      <c r="B26" s="17" t="s">
        <v>93</v>
      </c>
      <c r="C26" s="17" t="s">
        <v>71</v>
      </c>
      <c r="D26" s="17" t="s">
        <v>58</v>
      </c>
      <c r="E26" s="17" t="n">
        <v>4</v>
      </c>
      <c r="F26" s="17" t="n">
        <v>4</v>
      </c>
      <c r="G26" s="17" t="n">
        <v>3</v>
      </c>
      <c r="H26" s="17" t="n">
        <v>3</v>
      </c>
      <c r="I26" s="17" t="n">
        <v>4</v>
      </c>
      <c r="J26" s="6" t="str">
        <f aca="false">IF(F26="","",IF(AND(F26&gt;=4,G26&gt;=4,H26&gt;=4,I26&gt;=4),"Proficient",IF(AND(F26&lt;=2,G26&lt;=2,H26&lt;=2,I26&lt;=2),"Emerging","Progressing")))</f>
        <v>Progressing</v>
      </c>
      <c r="K26" s="6" t="str">
        <f aca="false">IF(F26="","",IF(J26="Proficient","Yes","No"))</f>
        <v>No</v>
      </c>
      <c r="L26" s="6" t="str">
        <f aca="false">IF(F26="","",INDEX({"Listening","Speaking","Reading","Writing"},MATCH(MIN(F26:I26),F26:I26,0)))</f>
        <v>Speaking</v>
      </c>
      <c r="M26" s="17" t="n">
        <v>4</v>
      </c>
      <c r="N26" s="6" t="n">
        <f aca="false">IF(OR(F26="",M26=""),"",ROUND(AVERAGE(F26:I26)-M26,1))</f>
        <v>-0.5</v>
      </c>
      <c r="O26" s="17" t="s">
        <v>90</v>
      </c>
      <c r="P26" s="17" t="s">
        <v>91</v>
      </c>
      <c r="Q26" s="17"/>
    </row>
    <row r="27" customFormat="false" ht="15" hidden="false" customHeight="true" outlineLevel="0" collapsed="false">
      <c r="A27" s="17" t="s">
        <v>121</v>
      </c>
      <c r="B27" s="17" t="s">
        <v>89</v>
      </c>
      <c r="C27" s="17" t="s">
        <v>73</v>
      </c>
      <c r="D27" s="17" t="s">
        <v>62</v>
      </c>
      <c r="E27" s="17" t="n">
        <v>2</v>
      </c>
      <c r="F27" s="17" t="n">
        <v>2</v>
      </c>
      <c r="G27" s="17" t="n">
        <v>1</v>
      </c>
      <c r="H27" s="17" t="n">
        <v>2</v>
      </c>
      <c r="I27" s="17" t="n">
        <v>2</v>
      </c>
      <c r="J27" s="6" t="str">
        <f aca="false">IF(F27="","",IF(AND(F27&gt;=4,G27&gt;=4,H27&gt;=4,I27&gt;=4),"Proficient",IF(AND(F27&lt;=2,G27&lt;=2,H27&lt;=2,I27&lt;=2),"Emerging","Progressing")))</f>
        <v>Emerging</v>
      </c>
      <c r="K27" s="6" t="str">
        <f aca="false">IF(F27="","",IF(J27="Proficient","Yes","No"))</f>
        <v>No</v>
      </c>
      <c r="L27" s="6" t="str">
        <f aca="false">IF(F27="","",INDEX({"Listening","Speaking","Reading","Writing"},MATCH(MIN(F27:I27),F27:I27,0)))</f>
        <v>Speaking</v>
      </c>
      <c r="M27" s="17" t="n">
        <v>1</v>
      </c>
      <c r="N27" s="6" t="n">
        <f aca="false">IF(OR(F27="",M27=""),"",ROUND(AVERAGE(F27:I27)-M27,1))</f>
        <v>0.8</v>
      </c>
      <c r="O27" s="17" t="s">
        <v>90</v>
      </c>
      <c r="P27" s="17" t="s">
        <v>91</v>
      </c>
      <c r="Q27" s="17"/>
    </row>
    <row r="28" customFormat="false" ht="15" hidden="false" customHeight="true" outlineLevel="0" collapsed="false">
      <c r="A28" s="17" t="s">
        <v>122</v>
      </c>
      <c r="B28" s="17" t="s">
        <v>99</v>
      </c>
      <c r="C28" s="17" t="s">
        <v>69</v>
      </c>
      <c r="D28" s="17" t="s">
        <v>58</v>
      </c>
      <c r="E28" s="17" t="n">
        <v>2</v>
      </c>
      <c r="F28" s="17" t="n">
        <v>2</v>
      </c>
      <c r="G28" s="17" t="n">
        <v>1</v>
      </c>
      <c r="H28" s="17" t="n">
        <v>2</v>
      </c>
      <c r="I28" s="17" t="n">
        <v>1</v>
      </c>
      <c r="J28" s="6" t="str">
        <f aca="false">IF(F28="","",IF(AND(F28&gt;=4,G28&gt;=4,H28&gt;=4,I28&gt;=4),"Proficient",IF(AND(F28&lt;=2,G28&lt;=2,H28&lt;=2,I28&lt;=2),"Emerging","Progressing")))</f>
        <v>Emerging</v>
      </c>
      <c r="K28" s="6" t="str">
        <f aca="false">IF(F28="","",IF(J28="Proficient","Yes","No"))</f>
        <v>No</v>
      </c>
      <c r="L28" s="6" t="str">
        <f aca="false">IF(F28="","",INDEX({"Listening","Speaking","Reading","Writing"},MATCH(MIN(F28:I28),F28:I28,0)))</f>
        <v>Speaking</v>
      </c>
      <c r="M28" s="17" t="n">
        <v>1</v>
      </c>
      <c r="N28" s="6" t="n">
        <f aca="false">IF(OR(F28="",M28=""),"",ROUND(AVERAGE(F28:I28)-M28,1))</f>
        <v>0.5</v>
      </c>
      <c r="O28" s="17" t="s">
        <v>90</v>
      </c>
      <c r="P28" s="17" t="s">
        <v>91</v>
      </c>
      <c r="Q28" s="17"/>
    </row>
    <row r="29" customFormat="false" ht="15" hidden="false" customHeight="true" outlineLevel="0" collapsed="false">
      <c r="A29" s="17" t="s">
        <v>123</v>
      </c>
      <c r="B29" s="17" t="s">
        <v>99</v>
      </c>
      <c r="C29" s="17" t="s">
        <v>69</v>
      </c>
      <c r="D29" s="17" t="s">
        <v>58</v>
      </c>
      <c r="E29" s="17" t="n">
        <v>3</v>
      </c>
      <c r="F29" s="17" t="n">
        <v>3</v>
      </c>
      <c r="G29" s="17" t="n">
        <v>3</v>
      </c>
      <c r="H29" s="17" t="n">
        <v>2</v>
      </c>
      <c r="I29" s="17" t="n">
        <v>3</v>
      </c>
      <c r="J29" s="6" t="str">
        <f aca="false">IF(F29="","",IF(AND(F29&gt;=4,G29&gt;=4,H29&gt;=4,I29&gt;=4),"Proficient",IF(AND(F29&lt;=2,G29&lt;=2,H29&lt;=2,I29&lt;=2),"Emerging","Progressing")))</f>
        <v>Progressing</v>
      </c>
      <c r="K29" s="6" t="str">
        <f aca="false">IF(F29="","",IF(J29="Proficient","Yes","No"))</f>
        <v>No</v>
      </c>
      <c r="L29" s="6" t="str">
        <f aca="false">IF(F29="","",INDEX({"Listening","Speaking","Reading","Writing"},MATCH(MIN(F29:I29),F29:I29,0)))</f>
        <v>Reading</v>
      </c>
      <c r="M29" s="17" t="n">
        <v>2</v>
      </c>
      <c r="N29" s="6" t="n">
        <f aca="false">IF(OR(F29="",M29=""),"",ROUND(AVERAGE(F29:I29)-M29,1))</f>
        <v>0.8</v>
      </c>
      <c r="O29" s="17" t="s">
        <v>115</v>
      </c>
      <c r="P29" s="17" t="s">
        <v>91</v>
      </c>
      <c r="Q29" s="17"/>
    </row>
    <row r="30" customFormat="false" ht="15" hidden="false" customHeight="true" outlineLevel="0" collapsed="false">
      <c r="A30" s="17" t="s">
        <v>124</v>
      </c>
      <c r="B30" s="17" t="s">
        <v>93</v>
      </c>
      <c r="C30" s="17" t="s">
        <v>57</v>
      </c>
      <c r="D30" s="17" t="s">
        <v>58</v>
      </c>
      <c r="E30" s="17" t="n">
        <v>5</v>
      </c>
      <c r="F30" s="17" t="n">
        <v>5</v>
      </c>
      <c r="G30" s="17" t="n">
        <v>4</v>
      </c>
      <c r="H30" s="17" t="n">
        <v>5</v>
      </c>
      <c r="I30" s="17" t="n">
        <v>4</v>
      </c>
      <c r="J30" s="6" t="str">
        <f aca="false">IF(F30="","",IF(AND(F30&gt;=4,G30&gt;=4,H30&gt;=4,I30&gt;=4),"Proficient",IF(AND(F30&lt;=2,G30&lt;=2,H30&lt;=2,I30&lt;=2),"Emerging","Progressing")))</f>
        <v>Proficient</v>
      </c>
      <c r="K30" s="6" t="str">
        <f aca="false">IF(F30="","",IF(J30="Proficient","Yes","No"))</f>
        <v>Yes</v>
      </c>
      <c r="L30" s="6" t="str">
        <f aca="false">IF(F30="","",INDEX({"Listening","Speaking","Reading","Writing"},MATCH(MIN(F30:I30),F30:I30,0)))</f>
        <v>Speaking</v>
      </c>
      <c r="M30" s="17" t="n">
        <v>4</v>
      </c>
      <c r="N30" s="6" t="n">
        <f aca="false">IF(OR(F30="",M30=""),"",ROUND(AVERAGE(F30:I30)-M30,1))</f>
        <v>0.5</v>
      </c>
      <c r="O30" s="17" t="s">
        <v>115</v>
      </c>
      <c r="P30" s="17" t="s">
        <v>94</v>
      </c>
      <c r="Q30" s="17"/>
    </row>
    <row r="31" customFormat="false" ht="15" hidden="false" customHeight="true" outlineLevel="0" collapsed="false">
      <c r="A31" s="17" t="s">
        <v>125</v>
      </c>
      <c r="B31" s="17" t="s">
        <v>93</v>
      </c>
      <c r="C31" s="17" t="s">
        <v>57</v>
      </c>
      <c r="D31" s="17" t="s">
        <v>64</v>
      </c>
      <c r="E31" s="17" t="n">
        <v>1</v>
      </c>
      <c r="F31" s="17" t="n">
        <v>1</v>
      </c>
      <c r="G31" s="17" t="n">
        <v>1</v>
      </c>
      <c r="H31" s="17" t="n">
        <v>1</v>
      </c>
      <c r="I31" s="17" t="n">
        <v>1</v>
      </c>
      <c r="J31" s="6" t="str">
        <f aca="false">IF(F31="","",IF(AND(F31&gt;=4,G31&gt;=4,H31&gt;=4,I31&gt;=4),"Proficient",IF(AND(F31&lt;=2,G31&lt;=2,H31&lt;=2,I31&lt;=2),"Emerging","Progressing")))</f>
        <v>Emerging</v>
      </c>
      <c r="K31" s="6" t="str">
        <f aca="false">IF(F31="","",IF(J31="Proficient","Yes","No"))</f>
        <v>No</v>
      </c>
      <c r="L31" s="6" t="str">
        <f aca="false">IF(F31="","",INDEX({"Listening","Speaking","Reading","Writing"},MATCH(MIN(F31:I31),F31:I31,0)))</f>
        <v>Listening</v>
      </c>
      <c r="M31" s="17"/>
      <c r="N31" s="6" t="str">
        <f aca="false">IF(OR(F31="",M31=""),"",ROUND(AVERAGE(F31:I31)-M31,1))</f>
        <v/>
      </c>
      <c r="O31" s="17" t="s">
        <v>115</v>
      </c>
      <c r="P31" s="17" t="s">
        <v>91</v>
      </c>
      <c r="Q31" s="17"/>
    </row>
    <row r="32" customFormat="false" ht="15" hidden="false" customHeight="true" outlineLevel="0" collapsed="false">
      <c r="A32" s="17" t="s">
        <v>126</v>
      </c>
      <c r="B32" s="17" t="s">
        <v>99</v>
      </c>
      <c r="C32" s="17" t="s">
        <v>57</v>
      </c>
      <c r="D32" s="17" t="s">
        <v>64</v>
      </c>
      <c r="E32" s="17" t="n">
        <v>6</v>
      </c>
      <c r="F32" s="17" t="n">
        <v>5</v>
      </c>
      <c r="G32" s="17" t="n">
        <v>5</v>
      </c>
      <c r="H32" s="17" t="n">
        <v>4</v>
      </c>
      <c r="I32" s="17" t="n">
        <v>4</v>
      </c>
      <c r="J32" s="6" t="str">
        <f aca="false">IF(F32="","",IF(AND(F32&gt;=4,G32&gt;=4,H32&gt;=4,I32&gt;=4),"Proficient",IF(AND(F32&lt;=2,G32&lt;=2,H32&lt;=2,I32&lt;=2),"Emerging","Progressing")))</f>
        <v>Proficient</v>
      </c>
      <c r="K32" s="6" t="str">
        <f aca="false">IF(F32="","",IF(J32="Proficient","Yes","No"))</f>
        <v>Yes</v>
      </c>
      <c r="L32" s="6" t="str">
        <f aca="false">IF(F32="","",INDEX({"Listening","Speaking","Reading","Writing"},MATCH(MIN(F32:I32),F32:I32,0)))</f>
        <v>Reading</v>
      </c>
      <c r="M32" s="17" t="n">
        <v>5</v>
      </c>
      <c r="N32" s="6" t="n">
        <f aca="false">IF(OR(F32="",M32=""),"",ROUND(AVERAGE(F32:I32)-M32,1))</f>
        <v>-0.5</v>
      </c>
      <c r="O32" s="17" t="s">
        <v>90</v>
      </c>
      <c r="P32" s="17" t="s">
        <v>91</v>
      </c>
      <c r="Q32" s="17"/>
    </row>
    <row r="33" customFormat="false" ht="15" hidden="false" customHeight="true" outlineLevel="0" collapsed="false">
      <c r="A33" s="17" t="s">
        <v>127</v>
      </c>
      <c r="B33" s="17" t="s">
        <v>89</v>
      </c>
      <c r="C33" s="17" t="s">
        <v>71</v>
      </c>
      <c r="D33" s="17" t="s">
        <v>66</v>
      </c>
      <c r="E33" s="17" t="n">
        <v>6</v>
      </c>
      <c r="F33" s="17" t="n">
        <v>5</v>
      </c>
      <c r="G33" s="17" t="n">
        <v>5</v>
      </c>
      <c r="H33" s="17" t="n">
        <v>4</v>
      </c>
      <c r="I33" s="17" t="n">
        <v>4</v>
      </c>
      <c r="J33" s="6" t="str">
        <f aca="false">IF(F33="","",IF(AND(F33&gt;=4,G33&gt;=4,H33&gt;=4,I33&gt;=4),"Proficient",IF(AND(F33&lt;=2,G33&lt;=2,H33&lt;=2,I33&lt;=2),"Emerging","Progressing")))</f>
        <v>Proficient</v>
      </c>
      <c r="K33" s="6" t="str">
        <f aca="false">IF(F33="","",IF(J33="Proficient","Yes","No"))</f>
        <v>Yes</v>
      </c>
      <c r="L33" s="6" t="str">
        <f aca="false">IF(F33="","",INDEX({"Listening","Speaking","Reading","Writing"},MATCH(MIN(F33:I33),F33:I33,0)))</f>
        <v>Reading</v>
      </c>
      <c r="M33" s="17" t="n">
        <v>4</v>
      </c>
      <c r="N33" s="6" t="n">
        <f aca="false">IF(OR(F33="",M33=""),"",ROUND(AVERAGE(F33:I33)-M33,1))</f>
        <v>0.5</v>
      </c>
      <c r="O33" s="17" t="s">
        <v>90</v>
      </c>
      <c r="P33" s="17" t="s">
        <v>91</v>
      </c>
      <c r="Q33" s="17"/>
    </row>
    <row r="34" customFormat="false" ht="15" hidden="false" customHeight="true" outlineLevel="0" collapsed="false">
      <c r="A34" s="17" t="s">
        <v>128</v>
      </c>
      <c r="B34" s="17" t="s">
        <v>99</v>
      </c>
      <c r="C34" s="17" t="s">
        <v>69</v>
      </c>
      <c r="D34" s="17" t="s">
        <v>58</v>
      </c>
      <c r="E34" s="17" t="n">
        <v>6</v>
      </c>
      <c r="F34" s="17" t="n">
        <v>5</v>
      </c>
      <c r="G34" s="17" t="n">
        <v>5</v>
      </c>
      <c r="H34" s="17" t="n">
        <v>4</v>
      </c>
      <c r="I34" s="17" t="n">
        <v>4</v>
      </c>
      <c r="J34" s="6" t="str">
        <f aca="false">IF(F34="","",IF(AND(F34&gt;=4,G34&gt;=4,H34&gt;=4,I34&gt;=4),"Proficient",IF(AND(F34&lt;=2,G34&lt;=2,H34&lt;=2,I34&lt;=2),"Emerging","Progressing")))</f>
        <v>Proficient</v>
      </c>
      <c r="K34" s="6" t="str">
        <f aca="false">IF(F34="","",IF(J34="Proficient","Yes","No"))</f>
        <v>Yes</v>
      </c>
      <c r="L34" s="6" t="str">
        <f aca="false">IF(F34="","",INDEX({"Listening","Speaking","Reading","Writing"},MATCH(MIN(F34:I34),F34:I34,0)))</f>
        <v>Reading</v>
      </c>
      <c r="M34" s="17" t="n">
        <v>4</v>
      </c>
      <c r="N34" s="6" t="n">
        <f aca="false">IF(OR(F34="",M34=""),"",ROUND(AVERAGE(F34:I34)-M34,1))</f>
        <v>0.5</v>
      </c>
      <c r="O34" s="17" t="s">
        <v>90</v>
      </c>
      <c r="P34" s="17" t="s">
        <v>91</v>
      </c>
      <c r="Q34" s="17"/>
    </row>
    <row r="35" customFormat="false" ht="15" hidden="false" customHeight="true" outlineLevel="0" collapsed="false">
      <c r="A35" s="17" t="s">
        <v>129</v>
      </c>
      <c r="B35" s="17" t="s">
        <v>99</v>
      </c>
      <c r="C35" s="17" t="s">
        <v>74</v>
      </c>
      <c r="D35" s="17" t="s">
        <v>58</v>
      </c>
      <c r="E35" s="17" t="n">
        <v>3</v>
      </c>
      <c r="F35" s="17" t="n">
        <v>3</v>
      </c>
      <c r="G35" s="17" t="n">
        <v>1</v>
      </c>
      <c r="H35" s="17" t="n">
        <v>1</v>
      </c>
      <c r="I35" s="17" t="n">
        <v>1</v>
      </c>
      <c r="J35" s="6" t="str">
        <f aca="false">IF(F35="","",IF(AND(F35&gt;=4,G35&gt;=4,H35&gt;=4,I35&gt;=4),"Proficient",IF(AND(F35&lt;=2,G35&lt;=2,H35&lt;=2,I35&lt;=2),"Emerging","Progressing")))</f>
        <v>Progressing</v>
      </c>
      <c r="K35" s="6" t="str">
        <f aca="false">IF(F35="","",IF(J35="Proficient","Yes","No"))</f>
        <v>No</v>
      </c>
      <c r="L35" s="6" t="str">
        <f aca="false">IF(F35="","",INDEX({"Listening","Speaking","Reading","Writing"},MATCH(MIN(F35:I35),F35:I35,0)))</f>
        <v>Speaking</v>
      </c>
      <c r="M35" s="17" t="n">
        <v>2</v>
      </c>
      <c r="N35" s="6" t="n">
        <f aca="false">IF(OR(F35="",M35=""),"",ROUND(AVERAGE(F35:I35)-M35,1))</f>
        <v>-0.5</v>
      </c>
      <c r="O35" s="17" t="s">
        <v>90</v>
      </c>
      <c r="P35" s="17" t="s">
        <v>91</v>
      </c>
      <c r="Q35" s="17"/>
    </row>
    <row r="36" customFormat="false" ht="15" hidden="false" customHeight="true" outlineLevel="0" collapsed="false">
      <c r="A36" s="17" t="s">
        <v>130</v>
      </c>
      <c r="B36" s="17" t="s">
        <v>89</v>
      </c>
      <c r="C36" s="17" t="s">
        <v>61</v>
      </c>
      <c r="D36" s="17" t="s">
        <v>58</v>
      </c>
      <c r="E36" s="17" t="n">
        <v>2</v>
      </c>
      <c r="F36" s="17" t="n">
        <v>2</v>
      </c>
      <c r="G36" s="17" t="n">
        <v>2</v>
      </c>
      <c r="H36" s="17" t="n">
        <v>1</v>
      </c>
      <c r="I36" s="17" t="n">
        <v>1</v>
      </c>
      <c r="J36" s="6" t="str">
        <f aca="false">IF(F36="","",IF(AND(F36&gt;=4,G36&gt;=4,H36&gt;=4,I36&gt;=4),"Proficient",IF(AND(F36&lt;=2,G36&lt;=2,H36&lt;=2,I36&lt;=2),"Emerging","Progressing")))</f>
        <v>Emerging</v>
      </c>
      <c r="K36" s="6" t="str">
        <f aca="false">IF(F36="","",IF(J36="Proficient","Yes","No"))</f>
        <v>No</v>
      </c>
      <c r="L36" s="6" t="str">
        <f aca="false">IF(F36="","",INDEX({"Listening","Speaking","Reading","Writing"},MATCH(MIN(F36:I36),F36:I36,0)))</f>
        <v>Reading</v>
      </c>
      <c r="M36" s="17" t="n">
        <v>1</v>
      </c>
      <c r="N36" s="6" t="n">
        <f aca="false">IF(OR(F36="",M36=""),"",ROUND(AVERAGE(F36:I36)-M36,1))</f>
        <v>0.5</v>
      </c>
      <c r="O36" s="17" t="s">
        <v>90</v>
      </c>
      <c r="P36" s="17" t="s">
        <v>91</v>
      </c>
      <c r="Q36" s="17"/>
    </row>
    <row r="37" customFormat="false" ht="15" hidden="false" customHeight="true" outlineLevel="0" collapsed="false">
      <c r="A37" s="17" t="s">
        <v>131</v>
      </c>
      <c r="B37" s="17" t="s">
        <v>93</v>
      </c>
      <c r="C37" s="17" t="s">
        <v>74</v>
      </c>
      <c r="D37" s="17" t="s">
        <v>58</v>
      </c>
      <c r="E37" s="17" t="n">
        <v>4</v>
      </c>
      <c r="F37" s="17" t="n">
        <v>5</v>
      </c>
      <c r="G37" s="17" t="n">
        <v>5</v>
      </c>
      <c r="H37" s="17" t="n">
        <v>4</v>
      </c>
      <c r="I37" s="17" t="n">
        <v>5</v>
      </c>
      <c r="J37" s="6" t="str">
        <f aca="false">IF(F37="","",IF(AND(F37&gt;=4,G37&gt;=4,H37&gt;=4,I37&gt;=4),"Proficient",IF(AND(F37&lt;=2,G37&lt;=2,H37&lt;=2,I37&lt;=2),"Emerging","Progressing")))</f>
        <v>Proficient</v>
      </c>
      <c r="K37" s="6" t="str">
        <f aca="false">IF(F37="","",IF(J37="Proficient","Yes","No"))</f>
        <v>Yes</v>
      </c>
      <c r="L37" s="6" t="str">
        <f aca="false">IF(F37="","",INDEX({"Listening","Speaking","Reading","Writing"},MATCH(MIN(F37:I37),F37:I37,0)))</f>
        <v>Reading</v>
      </c>
      <c r="M37" s="17" t="n">
        <v>4</v>
      </c>
      <c r="N37" s="6" t="n">
        <f aca="false">IF(OR(F37="",M37=""),"",ROUND(AVERAGE(F37:I37)-M37,1))</f>
        <v>0.8</v>
      </c>
      <c r="O37" s="17" t="s">
        <v>90</v>
      </c>
      <c r="P37" s="17" t="s">
        <v>91</v>
      </c>
      <c r="Q37" s="17"/>
    </row>
    <row r="38" customFormat="false" ht="15" hidden="false" customHeight="true" outlineLevel="0" collapsed="false">
      <c r="A38" s="17" t="s">
        <v>132</v>
      </c>
      <c r="B38" s="17" t="s">
        <v>93</v>
      </c>
      <c r="C38" s="17" t="s">
        <v>73</v>
      </c>
      <c r="D38" s="17" t="s">
        <v>64</v>
      </c>
      <c r="E38" s="17" t="n">
        <v>6</v>
      </c>
      <c r="F38" s="17" t="n">
        <v>5</v>
      </c>
      <c r="G38" s="17" t="n">
        <v>5</v>
      </c>
      <c r="H38" s="17" t="n">
        <v>4</v>
      </c>
      <c r="I38" s="17" t="n">
        <v>5</v>
      </c>
      <c r="J38" s="6" t="str">
        <f aca="false">IF(F38="","",IF(AND(F38&gt;=4,G38&gt;=4,H38&gt;=4,I38&gt;=4),"Proficient",IF(AND(F38&lt;=2,G38&lt;=2,H38&lt;=2,I38&lt;=2),"Emerging","Progressing")))</f>
        <v>Proficient</v>
      </c>
      <c r="K38" s="6" t="str">
        <f aca="false">IF(F38="","",IF(J38="Proficient","Yes","No"))</f>
        <v>Yes</v>
      </c>
      <c r="L38" s="6" t="str">
        <f aca="false">IF(F38="","",INDEX({"Listening","Speaking","Reading","Writing"},MATCH(MIN(F38:I38),F38:I38,0)))</f>
        <v>Reading</v>
      </c>
      <c r="M38" s="17" t="n">
        <v>4</v>
      </c>
      <c r="N38" s="6" t="n">
        <f aca="false">IF(OR(F38="",M38=""),"",ROUND(AVERAGE(F38:I38)-M38,1))</f>
        <v>0.8</v>
      </c>
      <c r="O38" s="17" t="s">
        <v>115</v>
      </c>
      <c r="P38" s="17" t="s">
        <v>91</v>
      </c>
      <c r="Q38" s="17"/>
    </row>
    <row r="39" customFormat="false" ht="15" hidden="false" customHeight="true" outlineLevel="0" collapsed="false">
      <c r="A39" s="17" t="s">
        <v>133</v>
      </c>
      <c r="B39" s="17" t="s">
        <v>99</v>
      </c>
      <c r="C39" s="17" t="s">
        <v>76</v>
      </c>
      <c r="D39" s="17" t="s">
        <v>58</v>
      </c>
      <c r="E39" s="17" t="n">
        <v>1</v>
      </c>
      <c r="F39" s="17" t="n">
        <v>1</v>
      </c>
      <c r="G39" s="17" t="n">
        <v>1</v>
      </c>
      <c r="H39" s="17" t="n">
        <v>1</v>
      </c>
      <c r="I39" s="17" t="n">
        <v>1</v>
      </c>
      <c r="J39" s="6" t="str">
        <f aca="false">IF(F39="","",IF(AND(F39&gt;=4,G39&gt;=4,H39&gt;=4,I39&gt;=4),"Proficient",IF(AND(F39&lt;=2,G39&lt;=2,H39&lt;=2,I39&lt;=2),"Emerging","Progressing")))</f>
        <v>Emerging</v>
      </c>
      <c r="K39" s="6" t="str">
        <f aca="false">IF(F39="","",IF(J39="Proficient","Yes","No"))</f>
        <v>No</v>
      </c>
      <c r="L39" s="6" t="str">
        <f aca="false">IF(F39="","",INDEX({"Listening","Speaking","Reading","Writing"},MATCH(MIN(F39:I39),F39:I39,0)))</f>
        <v>Listening</v>
      </c>
      <c r="M39" s="17"/>
      <c r="N39" s="6" t="str">
        <f aca="false">IF(OR(F39="",M39=""),"",ROUND(AVERAGE(F39:I39)-M39,1))</f>
        <v/>
      </c>
      <c r="O39" s="17" t="s">
        <v>90</v>
      </c>
      <c r="P39" s="17" t="s">
        <v>91</v>
      </c>
      <c r="Q39" s="17"/>
    </row>
    <row r="40" customFormat="false" ht="15" hidden="false" customHeight="true" outlineLevel="0" collapsed="false">
      <c r="A40" s="17" t="s">
        <v>134</v>
      </c>
      <c r="B40" s="17" t="s">
        <v>93</v>
      </c>
      <c r="C40" s="17" t="s">
        <v>59</v>
      </c>
      <c r="D40" s="17" t="s">
        <v>58</v>
      </c>
      <c r="E40" s="17" t="n">
        <v>4</v>
      </c>
      <c r="F40" s="17" t="n">
        <v>4</v>
      </c>
      <c r="G40" s="17" t="n">
        <v>3</v>
      </c>
      <c r="H40" s="17" t="n">
        <v>4</v>
      </c>
      <c r="I40" s="17" t="n">
        <v>4</v>
      </c>
      <c r="J40" s="6" t="str">
        <f aca="false">IF(F40="","",IF(AND(F40&gt;=4,G40&gt;=4,H40&gt;=4,I40&gt;=4),"Proficient",IF(AND(F40&lt;=2,G40&lt;=2,H40&lt;=2,I40&lt;=2),"Emerging","Progressing")))</f>
        <v>Progressing</v>
      </c>
      <c r="K40" s="6" t="str">
        <f aca="false">IF(F40="","",IF(J40="Proficient","Yes","No"))</f>
        <v>No</v>
      </c>
      <c r="L40" s="6" t="str">
        <f aca="false">IF(F40="","",INDEX({"Listening","Speaking","Reading","Writing"},MATCH(MIN(F40:I40),F40:I40,0)))</f>
        <v>Speaking</v>
      </c>
      <c r="M40" s="17" t="n">
        <v>3</v>
      </c>
      <c r="N40" s="6" t="n">
        <f aca="false">IF(OR(F40="",M40=""),"",ROUND(AVERAGE(F40:I40)-M40,1))</f>
        <v>0.8</v>
      </c>
      <c r="O40" s="17" t="s">
        <v>90</v>
      </c>
      <c r="P40" s="17" t="s">
        <v>91</v>
      </c>
      <c r="Q40" s="17"/>
    </row>
    <row r="41" customFormat="false" ht="15" hidden="false" customHeight="true" outlineLevel="0" collapsed="false">
      <c r="A41" s="17" t="s">
        <v>135</v>
      </c>
      <c r="B41" s="17" t="s">
        <v>99</v>
      </c>
      <c r="C41" s="17" t="s">
        <v>73</v>
      </c>
      <c r="D41" s="17" t="s">
        <v>58</v>
      </c>
      <c r="E41" s="17" t="n">
        <v>4</v>
      </c>
      <c r="F41" s="17" t="n">
        <v>3</v>
      </c>
      <c r="G41" s="17" t="n">
        <v>2</v>
      </c>
      <c r="H41" s="17" t="n">
        <v>3</v>
      </c>
      <c r="I41" s="17" t="n">
        <v>2</v>
      </c>
      <c r="J41" s="6" t="str">
        <f aca="false">IF(F41="","",IF(AND(F41&gt;=4,G41&gt;=4,H41&gt;=4,I41&gt;=4),"Proficient",IF(AND(F41&lt;=2,G41&lt;=2,H41&lt;=2,I41&lt;=2),"Emerging","Progressing")))</f>
        <v>Progressing</v>
      </c>
      <c r="K41" s="6" t="str">
        <f aca="false">IF(F41="","",IF(J41="Proficient","Yes","No"))</f>
        <v>No</v>
      </c>
      <c r="L41" s="6" t="str">
        <f aca="false">IF(F41="","",INDEX({"Listening","Speaking","Reading","Writing"},MATCH(MIN(F41:I41),F41:I41,0)))</f>
        <v>Speaking</v>
      </c>
      <c r="M41" s="17" t="n">
        <v>2</v>
      </c>
      <c r="N41" s="6" t="n">
        <f aca="false">IF(OR(F41="",M41=""),"",ROUND(AVERAGE(F41:I41)-M41,1))</f>
        <v>0.5</v>
      </c>
      <c r="O41" s="17" t="s">
        <v>90</v>
      </c>
      <c r="P41" s="17" t="s">
        <v>91</v>
      </c>
      <c r="Q41" s="17"/>
    </row>
    <row r="42" customFormat="false" ht="1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6" t="str">
        <f aca="false">IF(F42="","",IF(AND(F42&gt;=4,G42&gt;=4,H42&gt;=4,I42&gt;=4),"Proficient",IF(AND(F42&lt;=2,G42&lt;=2,H42&lt;=2,I42&lt;=2),"Emerging","Progressing")))</f>
        <v/>
      </c>
      <c r="K42" s="6" t="str">
        <f aca="false">IF(F42="","",IF(J42="Proficient","Yes","No"))</f>
        <v/>
      </c>
      <c r="L42" s="6" t="str">
        <f aca="false">IF(F42="","",INDEX({"Listening","Speaking","Reading","Writing"},MATCH(MIN(F42:I42),F42:I42,0)))</f>
        <v/>
      </c>
      <c r="M42" s="17"/>
      <c r="N42" s="6" t="str">
        <f aca="false">IF(OR(F42="",M42=""),"",ROUND(AVERAGE(F42:I42)-M42,1))</f>
        <v/>
      </c>
      <c r="O42" s="17"/>
      <c r="P42" s="17"/>
      <c r="Q42" s="17"/>
    </row>
    <row r="43" customFormat="false" ht="15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6" t="str">
        <f aca="false">IF(F43="","",IF(AND(F43&gt;=4,G43&gt;=4,H43&gt;=4,I43&gt;=4),"Proficient",IF(AND(F43&lt;=2,G43&lt;=2,H43&lt;=2,I43&lt;=2),"Emerging","Progressing")))</f>
        <v/>
      </c>
      <c r="K43" s="6" t="str">
        <f aca="false">IF(F43="","",IF(J43="Proficient","Yes","No"))</f>
        <v/>
      </c>
      <c r="L43" s="6" t="str">
        <f aca="false">IF(F43="","",INDEX({"Listening","Speaking","Reading","Writing"},MATCH(MIN(F43:I43),F43:I43,0)))</f>
        <v/>
      </c>
      <c r="M43" s="17"/>
      <c r="N43" s="6" t="str">
        <f aca="false">IF(OR(F43="",M43=""),"",ROUND(AVERAGE(F43:I43)-M43,1))</f>
        <v/>
      </c>
      <c r="O43" s="17"/>
      <c r="P43" s="17"/>
      <c r="Q43" s="17"/>
    </row>
    <row r="44" customFormat="false" ht="15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6" t="str">
        <f aca="false">IF(F44="","",IF(AND(F44&gt;=4,G44&gt;=4,H44&gt;=4,I44&gt;=4),"Proficient",IF(AND(F44&lt;=2,G44&lt;=2,H44&lt;=2,I44&lt;=2),"Emerging","Progressing")))</f>
        <v/>
      </c>
      <c r="K44" s="6" t="str">
        <f aca="false">IF(F44="","",IF(J44="Proficient","Yes","No"))</f>
        <v/>
      </c>
      <c r="L44" s="6" t="str">
        <f aca="false">IF(F44="","",INDEX({"Listening","Speaking","Reading","Writing"},MATCH(MIN(F44:I44),F44:I44,0)))</f>
        <v/>
      </c>
      <c r="M44" s="17"/>
      <c r="N44" s="6" t="str">
        <f aca="false">IF(OR(F44="",M44=""),"",ROUND(AVERAGE(F44:I44)-M44,1))</f>
        <v/>
      </c>
      <c r="O44" s="17"/>
      <c r="P44" s="17"/>
      <c r="Q44" s="17"/>
    </row>
    <row r="45" customFormat="false" ht="15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6" t="str">
        <f aca="false">IF(F45="","",IF(AND(F45&gt;=4,G45&gt;=4,H45&gt;=4,I45&gt;=4),"Proficient",IF(AND(F45&lt;=2,G45&lt;=2,H45&lt;=2,I45&lt;=2),"Emerging","Progressing")))</f>
        <v/>
      </c>
      <c r="K45" s="6" t="str">
        <f aca="false">IF(F45="","",IF(J45="Proficient","Yes","No"))</f>
        <v/>
      </c>
      <c r="L45" s="6" t="str">
        <f aca="false">IF(F45="","",INDEX({"Listening","Speaking","Reading","Writing"},MATCH(MIN(F45:I45),F45:I45,0)))</f>
        <v/>
      </c>
      <c r="M45" s="17"/>
      <c r="N45" s="6" t="str">
        <f aca="false">IF(OR(F45="",M45=""),"",ROUND(AVERAGE(F45:I45)-M45,1))</f>
        <v/>
      </c>
      <c r="O45" s="17"/>
      <c r="P45" s="17"/>
      <c r="Q45" s="17"/>
    </row>
    <row r="46" customFormat="false" ht="15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6" t="str">
        <f aca="false">IF(F46="","",IF(AND(F46&gt;=4,G46&gt;=4,H46&gt;=4,I46&gt;=4),"Proficient",IF(AND(F46&lt;=2,G46&lt;=2,H46&lt;=2,I46&lt;=2),"Emerging","Progressing")))</f>
        <v/>
      </c>
      <c r="K46" s="6" t="str">
        <f aca="false">IF(F46="","",IF(J46="Proficient","Yes","No"))</f>
        <v/>
      </c>
      <c r="L46" s="6" t="str">
        <f aca="false">IF(F46="","",INDEX({"Listening","Speaking","Reading","Writing"},MATCH(MIN(F46:I46),F46:I46,0)))</f>
        <v/>
      </c>
      <c r="M46" s="17"/>
      <c r="N46" s="6" t="str">
        <f aca="false">IF(OR(F46="",M46=""),"",ROUND(AVERAGE(F46:I46)-M46,1))</f>
        <v/>
      </c>
      <c r="O46" s="17"/>
      <c r="P46" s="17"/>
      <c r="Q46" s="17"/>
    </row>
    <row r="47" customFormat="false" ht="15" hidden="false" customHeight="tru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6" t="str">
        <f aca="false">IF(F47="","",IF(AND(F47&gt;=4,G47&gt;=4,H47&gt;=4,I47&gt;=4),"Proficient",IF(AND(F47&lt;=2,G47&lt;=2,H47&lt;=2,I47&lt;=2),"Emerging","Progressing")))</f>
        <v/>
      </c>
      <c r="K47" s="6" t="str">
        <f aca="false">IF(F47="","",IF(J47="Proficient","Yes","No"))</f>
        <v/>
      </c>
      <c r="L47" s="6" t="str">
        <f aca="false">IF(F47="","",INDEX({"Listening","Speaking","Reading","Writing"},MATCH(MIN(F47:I47),F47:I47,0)))</f>
        <v/>
      </c>
      <c r="M47" s="17"/>
      <c r="N47" s="6" t="str">
        <f aca="false">IF(OR(F47="",M47=""),"",ROUND(AVERAGE(F47:I47)-M47,1))</f>
        <v/>
      </c>
      <c r="O47" s="17"/>
      <c r="P47" s="17"/>
      <c r="Q47" s="17"/>
    </row>
    <row r="48" customFormat="false" ht="15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6" t="str">
        <f aca="false">IF(F48="","",IF(AND(F48&gt;=4,G48&gt;=4,H48&gt;=4,I48&gt;=4),"Proficient",IF(AND(F48&lt;=2,G48&lt;=2,H48&lt;=2,I48&lt;=2),"Emerging","Progressing")))</f>
        <v/>
      </c>
      <c r="K48" s="6" t="str">
        <f aca="false">IF(F48="","",IF(J48="Proficient","Yes","No"))</f>
        <v/>
      </c>
      <c r="L48" s="6" t="str">
        <f aca="false">IF(F48="","",INDEX({"Listening","Speaking","Reading","Writing"},MATCH(MIN(F48:I48),F48:I48,0)))</f>
        <v/>
      </c>
      <c r="M48" s="17"/>
      <c r="N48" s="6" t="str">
        <f aca="false">IF(OR(F48="",M48=""),"",ROUND(AVERAGE(F48:I48)-M48,1))</f>
        <v/>
      </c>
      <c r="O48" s="17"/>
      <c r="P48" s="17"/>
      <c r="Q48" s="17"/>
    </row>
    <row r="49" customFormat="false" ht="15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6" t="str">
        <f aca="false">IF(F49="","",IF(AND(F49&gt;=4,G49&gt;=4,H49&gt;=4,I49&gt;=4),"Proficient",IF(AND(F49&lt;=2,G49&lt;=2,H49&lt;=2,I49&lt;=2),"Emerging","Progressing")))</f>
        <v/>
      </c>
      <c r="K49" s="6" t="str">
        <f aca="false">IF(F49="","",IF(J49="Proficient","Yes","No"))</f>
        <v/>
      </c>
      <c r="L49" s="6" t="str">
        <f aca="false">IF(F49="","",INDEX({"Listening","Speaking","Reading","Writing"},MATCH(MIN(F49:I49),F49:I49,0)))</f>
        <v/>
      </c>
      <c r="M49" s="17"/>
      <c r="N49" s="6" t="str">
        <f aca="false">IF(OR(F49="",M49=""),"",ROUND(AVERAGE(F49:I49)-M49,1))</f>
        <v/>
      </c>
      <c r="O49" s="17"/>
      <c r="P49" s="17"/>
      <c r="Q49" s="17"/>
    </row>
    <row r="50" customFormat="false" ht="15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6" t="str">
        <f aca="false">IF(F50="","",IF(AND(F50&gt;=4,G50&gt;=4,H50&gt;=4,I50&gt;=4),"Proficient",IF(AND(F50&lt;=2,G50&lt;=2,H50&lt;=2,I50&lt;=2),"Emerging","Progressing")))</f>
        <v/>
      </c>
      <c r="K50" s="6" t="str">
        <f aca="false">IF(F50="","",IF(J50="Proficient","Yes","No"))</f>
        <v/>
      </c>
      <c r="L50" s="6" t="str">
        <f aca="false">IF(F50="","",INDEX({"Listening","Speaking","Reading","Writing"},MATCH(MIN(F50:I50),F50:I50,0)))</f>
        <v/>
      </c>
      <c r="M50" s="17"/>
      <c r="N50" s="6" t="str">
        <f aca="false">IF(OR(F50="",M50=""),"",ROUND(AVERAGE(F50:I50)-M50,1))</f>
        <v/>
      </c>
      <c r="O50" s="17"/>
      <c r="P50" s="17"/>
      <c r="Q50" s="17"/>
    </row>
    <row r="51" customFormat="false" ht="15" hidden="false" customHeight="tru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6" t="str">
        <f aca="false">IF(F51="","",IF(AND(F51&gt;=4,G51&gt;=4,H51&gt;=4,I51&gt;=4),"Proficient",IF(AND(F51&lt;=2,G51&lt;=2,H51&lt;=2,I51&lt;=2),"Emerging","Progressing")))</f>
        <v/>
      </c>
      <c r="K51" s="6" t="str">
        <f aca="false">IF(F51="","",IF(J51="Proficient","Yes","No"))</f>
        <v/>
      </c>
      <c r="L51" s="6" t="str">
        <f aca="false">IF(F51="","",INDEX({"Listening","Speaking","Reading","Writing"},MATCH(MIN(F51:I51),F51:I51,0)))</f>
        <v/>
      </c>
      <c r="M51" s="17"/>
      <c r="N51" s="6" t="str">
        <f aca="false">IF(OR(F51="",M51=""),"",ROUND(AVERAGE(F51:I51)-M51,1))</f>
        <v/>
      </c>
      <c r="O51" s="17"/>
      <c r="P51" s="17"/>
      <c r="Q51" s="17"/>
    </row>
    <row r="52" customFormat="false" ht="15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6" t="str">
        <f aca="false">IF(F52="","",IF(AND(F52&gt;=4,G52&gt;=4,H52&gt;=4,I52&gt;=4),"Proficient",IF(AND(F52&lt;=2,G52&lt;=2,H52&lt;=2,I52&lt;=2),"Emerging","Progressing")))</f>
        <v/>
      </c>
      <c r="K52" s="6" t="str">
        <f aca="false">IF(F52="","",IF(J52="Proficient","Yes","No"))</f>
        <v/>
      </c>
      <c r="L52" s="6" t="str">
        <f aca="false">IF(F52="","",INDEX({"Listening","Speaking","Reading","Writing"},MATCH(MIN(F52:I52),F52:I52,0)))</f>
        <v/>
      </c>
      <c r="M52" s="17"/>
      <c r="N52" s="6" t="str">
        <f aca="false">IF(OR(F52="",M52=""),"",ROUND(AVERAGE(F52:I52)-M52,1))</f>
        <v/>
      </c>
      <c r="O52" s="17"/>
      <c r="P52" s="17"/>
      <c r="Q52" s="17"/>
    </row>
    <row r="53" customFormat="false" ht="15" hidden="false" customHeight="tru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6" t="str">
        <f aca="false">IF(F53="","",IF(AND(F53&gt;=4,G53&gt;=4,H53&gt;=4,I53&gt;=4),"Proficient",IF(AND(F53&lt;=2,G53&lt;=2,H53&lt;=2,I53&lt;=2),"Emerging","Progressing")))</f>
        <v/>
      </c>
      <c r="K53" s="6" t="str">
        <f aca="false">IF(F53="","",IF(J53="Proficient","Yes","No"))</f>
        <v/>
      </c>
      <c r="L53" s="6" t="str">
        <f aca="false">IF(F53="","",INDEX({"Listening","Speaking","Reading","Writing"},MATCH(MIN(F53:I53),F53:I53,0)))</f>
        <v/>
      </c>
      <c r="M53" s="17"/>
      <c r="N53" s="6" t="str">
        <f aca="false">IF(OR(F53="",M53=""),"",ROUND(AVERAGE(F53:I53)-M53,1))</f>
        <v/>
      </c>
      <c r="O53" s="17"/>
      <c r="P53" s="17"/>
      <c r="Q53" s="17"/>
    </row>
    <row r="54" customFormat="false" ht="15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6" t="str">
        <f aca="false">IF(F54="","",IF(AND(F54&gt;=4,G54&gt;=4,H54&gt;=4,I54&gt;=4),"Proficient",IF(AND(F54&lt;=2,G54&lt;=2,H54&lt;=2,I54&lt;=2),"Emerging","Progressing")))</f>
        <v/>
      </c>
      <c r="K54" s="6" t="str">
        <f aca="false">IF(F54="","",IF(J54="Proficient","Yes","No"))</f>
        <v/>
      </c>
      <c r="L54" s="6" t="str">
        <f aca="false">IF(F54="","",INDEX({"Listening","Speaking","Reading","Writing"},MATCH(MIN(F54:I54),F54:I54,0)))</f>
        <v/>
      </c>
      <c r="M54" s="17"/>
      <c r="N54" s="6" t="str">
        <f aca="false">IF(OR(F54="",M54=""),"",ROUND(AVERAGE(F54:I54)-M54,1))</f>
        <v/>
      </c>
      <c r="O54" s="17"/>
      <c r="P54" s="17"/>
      <c r="Q54" s="17"/>
    </row>
    <row r="55" customFormat="false" ht="15" hidden="false" customHeight="tru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6" t="str">
        <f aca="false">IF(F55="","",IF(AND(F55&gt;=4,G55&gt;=4,H55&gt;=4,I55&gt;=4),"Proficient",IF(AND(F55&lt;=2,G55&lt;=2,H55&lt;=2,I55&lt;=2),"Emerging","Progressing")))</f>
        <v/>
      </c>
      <c r="K55" s="6" t="str">
        <f aca="false">IF(F55="","",IF(J55="Proficient","Yes","No"))</f>
        <v/>
      </c>
      <c r="L55" s="6" t="str">
        <f aca="false">IF(F55="","",INDEX({"Listening","Speaking","Reading","Writing"},MATCH(MIN(F55:I55),F55:I55,0)))</f>
        <v/>
      </c>
      <c r="M55" s="17"/>
      <c r="N55" s="6" t="str">
        <f aca="false">IF(OR(F55="",M55=""),"",ROUND(AVERAGE(F55:I55)-M55,1))</f>
        <v/>
      </c>
      <c r="O55" s="17"/>
      <c r="P55" s="17"/>
      <c r="Q55" s="17"/>
    </row>
    <row r="56" customFormat="false" ht="15" hidden="false" customHeight="tru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6" t="str">
        <f aca="false">IF(F56="","",IF(AND(F56&gt;=4,G56&gt;=4,H56&gt;=4,I56&gt;=4),"Proficient",IF(AND(F56&lt;=2,G56&lt;=2,H56&lt;=2,I56&lt;=2),"Emerging","Progressing")))</f>
        <v/>
      </c>
      <c r="K56" s="6" t="str">
        <f aca="false">IF(F56="","",IF(J56="Proficient","Yes","No"))</f>
        <v/>
      </c>
      <c r="L56" s="6" t="str">
        <f aca="false">IF(F56="","",INDEX({"Listening","Speaking","Reading","Writing"},MATCH(MIN(F56:I56),F56:I56,0)))</f>
        <v/>
      </c>
      <c r="M56" s="17"/>
      <c r="N56" s="6" t="str">
        <f aca="false">IF(OR(F56="",M56=""),"",ROUND(AVERAGE(F56:I56)-M56,1))</f>
        <v/>
      </c>
      <c r="O56" s="17"/>
      <c r="P56" s="17"/>
      <c r="Q56" s="17"/>
    </row>
    <row r="57" customFormat="false" ht="15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6" t="str">
        <f aca="false">IF(F57="","",IF(AND(F57&gt;=4,G57&gt;=4,H57&gt;=4,I57&gt;=4),"Proficient",IF(AND(F57&lt;=2,G57&lt;=2,H57&lt;=2,I57&lt;=2),"Emerging","Progressing")))</f>
        <v/>
      </c>
      <c r="K57" s="6" t="str">
        <f aca="false">IF(F57="","",IF(J57="Proficient","Yes","No"))</f>
        <v/>
      </c>
      <c r="L57" s="6" t="str">
        <f aca="false">IF(F57="","",INDEX({"Listening","Speaking","Reading","Writing"},MATCH(MIN(F57:I57),F57:I57,0)))</f>
        <v/>
      </c>
      <c r="M57" s="17"/>
      <c r="N57" s="6" t="str">
        <f aca="false">IF(OR(F57="",M57=""),"",ROUND(AVERAGE(F57:I57)-M57,1))</f>
        <v/>
      </c>
      <c r="O57" s="17"/>
      <c r="P57" s="17"/>
      <c r="Q57" s="17"/>
    </row>
    <row r="58" customFormat="false" ht="15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6" t="str">
        <f aca="false">IF(F58="","",IF(AND(F58&gt;=4,G58&gt;=4,H58&gt;=4,I58&gt;=4),"Proficient",IF(AND(F58&lt;=2,G58&lt;=2,H58&lt;=2,I58&lt;=2),"Emerging","Progressing")))</f>
        <v/>
      </c>
      <c r="K58" s="6" t="str">
        <f aca="false">IF(F58="","",IF(J58="Proficient","Yes","No"))</f>
        <v/>
      </c>
      <c r="L58" s="6" t="str">
        <f aca="false">IF(F58="","",INDEX({"Listening","Speaking","Reading","Writing"},MATCH(MIN(F58:I58),F58:I58,0)))</f>
        <v/>
      </c>
      <c r="M58" s="17"/>
      <c r="N58" s="6" t="str">
        <f aca="false">IF(OR(F58="",M58=""),"",ROUND(AVERAGE(F58:I58)-M58,1))</f>
        <v/>
      </c>
      <c r="O58" s="17"/>
      <c r="P58" s="17"/>
      <c r="Q58" s="17"/>
    </row>
    <row r="59" customFormat="false" ht="15" hidden="false" customHeight="tru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6" t="str">
        <f aca="false">IF(F59="","",IF(AND(F59&gt;=4,G59&gt;=4,H59&gt;=4,I59&gt;=4),"Proficient",IF(AND(F59&lt;=2,G59&lt;=2,H59&lt;=2,I59&lt;=2),"Emerging","Progressing")))</f>
        <v/>
      </c>
      <c r="K59" s="6" t="str">
        <f aca="false">IF(F59="","",IF(J59="Proficient","Yes","No"))</f>
        <v/>
      </c>
      <c r="L59" s="6" t="str">
        <f aca="false">IF(F59="","",INDEX({"Listening","Speaking","Reading","Writing"},MATCH(MIN(F59:I59),F59:I59,0)))</f>
        <v/>
      </c>
      <c r="M59" s="17"/>
      <c r="N59" s="6" t="str">
        <f aca="false">IF(OR(F59="",M59=""),"",ROUND(AVERAGE(F59:I59)-M59,1))</f>
        <v/>
      </c>
      <c r="O59" s="17"/>
      <c r="P59" s="17"/>
      <c r="Q59" s="17"/>
    </row>
    <row r="60" customFormat="false" ht="15" hidden="false" customHeight="tru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6" t="str">
        <f aca="false">IF(F60="","",IF(AND(F60&gt;=4,G60&gt;=4,H60&gt;=4,I60&gt;=4),"Proficient",IF(AND(F60&lt;=2,G60&lt;=2,H60&lt;=2,I60&lt;=2),"Emerging","Progressing")))</f>
        <v/>
      </c>
      <c r="K60" s="6" t="str">
        <f aca="false">IF(F60="","",IF(J60="Proficient","Yes","No"))</f>
        <v/>
      </c>
      <c r="L60" s="6" t="str">
        <f aca="false">IF(F60="","",INDEX({"Listening","Speaking","Reading","Writing"},MATCH(MIN(F60:I60),F60:I60,0)))</f>
        <v/>
      </c>
      <c r="M60" s="17"/>
      <c r="N60" s="6" t="str">
        <f aca="false">IF(OR(F60="",M60=""),"",ROUND(AVERAGE(F60:I60)-M60,1))</f>
        <v/>
      </c>
      <c r="O60" s="17"/>
      <c r="P60" s="17"/>
      <c r="Q60" s="17"/>
    </row>
    <row r="61" customFormat="false" ht="15" hidden="false" customHeight="tru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6" t="str">
        <f aca="false">IF(F61="","",IF(AND(F61&gt;=4,G61&gt;=4,H61&gt;=4,I61&gt;=4),"Proficient",IF(AND(F61&lt;=2,G61&lt;=2,H61&lt;=2,I61&lt;=2),"Emerging","Progressing")))</f>
        <v/>
      </c>
      <c r="K61" s="6" t="str">
        <f aca="false">IF(F61="","",IF(J61="Proficient","Yes","No"))</f>
        <v/>
      </c>
      <c r="L61" s="6" t="str">
        <f aca="false">IF(F61="","",INDEX({"Listening","Speaking","Reading","Writing"},MATCH(MIN(F61:I61),F61:I61,0)))</f>
        <v/>
      </c>
      <c r="M61" s="17"/>
      <c r="N61" s="6" t="str">
        <f aca="false">IF(OR(F61="",M61=""),"",ROUND(AVERAGE(F61:I61)-M61,1))</f>
        <v/>
      </c>
      <c r="O61" s="17"/>
      <c r="P61" s="17"/>
      <c r="Q61" s="17"/>
    </row>
    <row r="62" customFormat="false" ht="15" hidden="false" customHeight="tru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6" t="str">
        <f aca="false">IF(F62="","",IF(AND(F62&gt;=4,G62&gt;=4,H62&gt;=4,I62&gt;=4),"Proficient",IF(AND(F62&lt;=2,G62&lt;=2,H62&lt;=2,I62&lt;=2),"Emerging","Progressing")))</f>
        <v/>
      </c>
      <c r="K62" s="6" t="str">
        <f aca="false">IF(F62="","",IF(J62="Proficient","Yes","No"))</f>
        <v/>
      </c>
      <c r="L62" s="6" t="str">
        <f aca="false">IF(F62="","",INDEX({"Listening","Speaking","Reading","Writing"},MATCH(MIN(F62:I62),F62:I62,0)))</f>
        <v/>
      </c>
      <c r="M62" s="17"/>
      <c r="N62" s="6" t="str">
        <f aca="false">IF(OR(F62="",M62=""),"",ROUND(AVERAGE(F62:I62)-M62,1))</f>
        <v/>
      </c>
      <c r="O62" s="17"/>
      <c r="P62" s="17"/>
      <c r="Q62" s="17"/>
    </row>
    <row r="63" customFormat="false" ht="15" hidden="false" customHeight="tru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6" t="str">
        <f aca="false">IF(F63="","",IF(AND(F63&gt;=4,G63&gt;=4,H63&gt;=4,I63&gt;=4),"Proficient",IF(AND(F63&lt;=2,G63&lt;=2,H63&lt;=2,I63&lt;=2),"Emerging","Progressing")))</f>
        <v/>
      </c>
      <c r="K63" s="6" t="str">
        <f aca="false">IF(F63="","",IF(J63="Proficient","Yes","No"))</f>
        <v/>
      </c>
      <c r="L63" s="6" t="str">
        <f aca="false">IF(F63="","",INDEX({"Listening","Speaking","Reading","Writing"},MATCH(MIN(F63:I63),F63:I63,0)))</f>
        <v/>
      </c>
      <c r="M63" s="17"/>
      <c r="N63" s="6" t="str">
        <f aca="false">IF(OR(F63="",M63=""),"",ROUND(AVERAGE(F63:I63)-M63,1))</f>
        <v/>
      </c>
      <c r="O63" s="17"/>
      <c r="P63" s="17"/>
      <c r="Q63" s="17"/>
    </row>
    <row r="64" customFormat="false" ht="15" hidden="false" customHeight="tru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6" t="str">
        <f aca="false">IF(F64="","",IF(AND(F64&gt;=4,G64&gt;=4,H64&gt;=4,I64&gt;=4),"Proficient",IF(AND(F64&lt;=2,G64&lt;=2,H64&lt;=2,I64&lt;=2),"Emerging","Progressing")))</f>
        <v/>
      </c>
      <c r="K64" s="6" t="str">
        <f aca="false">IF(F64="","",IF(J64="Proficient","Yes","No"))</f>
        <v/>
      </c>
      <c r="L64" s="6" t="str">
        <f aca="false">IF(F64="","",INDEX({"Listening","Speaking","Reading","Writing"},MATCH(MIN(F64:I64),F64:I64,0)))</f>
        <v/>
      </c>
      <c r="M64" s="17"/>
      <c r="N64" s="6" t="str">
        <f aca="false">IF(OR(F64="",M64=""),"",ROUND(AVERAGE(F64:I64)-M64,1))</f>
        <v/>
      </c>
      <c r="O64" s="17"/>
      <c r="P64" s="17"/>
      <c r="Q64" s="17"/>
    </row>
    <row r="65" customFormat="false" ht="15" hidden="false" customHeight="tru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6" t="str">
        <f aca="false">IF(F65="","",IF(AND(F65&gt;=4,G65&gt;=4,H65&gt;=4,I65&gt;=4),"Proficient",IF(AND(F65&lt;=2,G65&lt;=2,H65&lt;=2,I65&lt;=2),"Emerging","Progressing")))</f>
        <v/>
      </c>
      <c r="K65" s="6" t="str">
        <f aca="false">IF(F65="","",IF(J65="Proficient","Yes","No"))</f>
        <v/>
      </c>
      <c r="L65" s="6" t="str">
        <f aca="false">IF(F65="","",INDEX({"Listening","Speaking","Reading","Writing"},MATCH(MIN(F65:I65),F65:I65,0)))</f>
        <v/>
      </c>
      <c r="M65" s="17"/>
      <c r="N65" s="6" t="str">
        <f aca="false">IF(OR(F65="",M65=""),"",ROUND(AVERAGE(F65:I65)-M65,1))</f>
        <v/>
      </c>
      <c r="O65" s="17"/>
      <c r="P65" s="17"/>
      <c r="Q65" s="17"/>
    </row>
    <row r="66" customFormat="false" ht="15" hidden="false" customHeight="tru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6" t="str">
        <f aca="false">IF(F66="","",IF(AND(F66&gt;=4,G66&gt;=4,H66&gt;=4,I66&gt;=4),"Proficient",IF(AND(F66&lt;=2,G66&lt;=2,H66&lt;=2,I66&lt;=2),"Emerging","Progressing")))</f>
        <v/>
      </c>
      <c r="K66" s="6" t="str">
        <f aca="false">IF(F66="","",IF(J66="Proficient","Yes","No"))</f>
        <v/>
      </c>
      <c r="L66" s="6" t="str">
        <f aca="false">IF(F66="","",INDEX({"Listening","Speaking","Reading","Writing"},MATCH(MIN(F66:I66),F66:I66,0)))</f>
        <v/>
      </c>
      <c r="M66" s="17"/>
      <c r="N66" s="6" t="str">
        <f aca="false">IF(OR(F66="",M66=""),"",ROUND(AVERAGE(F66:I66)-M66,1))</f>
        <v/>
      </c>
      <c r="O66" s="17"/>
      <c r="P66" s="17"/>
      <c r="Q66" s="17"/>
    </row>
    <row r="67" customFormat="false" ht="15" hidden="false" customHeight="tru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6" t="str">
        <f aca="false">IF(F67="","",IF(AND(F67&gt;=4,G67&gt;=4,H67&gt;=4,I67&gt;=4),"Proficient",IF(AND(F67&lt;=2,G67&lt;=2,H67&lt;=2,I67&lt;=2),"Emerging","Progressing")))</f>
        <v/>
      </c>
      <c r="K67" s="6" t="str">
        <f aca="false">IF(F67="","",IF(J67="Proficient","Yes","No"))</f>
        <v/>
      </c>
      <c r="L67" s="6" t="str">
        <f aca="false">IF(F67="","",INDEX({"Listening","Speaking","Reading","Writing"},MATCH(MIN(F67:I67),F67:I67,0)))</f>
        <v/>
      </c>
      <c r="M67" s="17"/>
      <c r="N67" s="6" t="str">
        <f aca="false">IF(OR(F67="",M67=""),"",ROUND(AVERAGE(F67:I67)-M67,1))</f>
        <v/>
      </c>
      <c r="O67" s="17"/>
      <c r="P67" s="17"/>
      <c r="Q67" s="17"/>
    </row>
    <row r="68" customFormat="false" ht="15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6" t="str">
        <f aca="false">IF(F68="","",IF(AND(F68&gt;=4,G68&gt;=4,H68&gt;=4,I68&gt;=4),"Proficient",IF(AND(F68&lt;=2,G68&lt;=2,H68&lt;=2,I68&lt;=2),"Emerging","Progressing")))</f>
        <v/>
      </c>
      <c r="K68" s="6" t="str">
        <f aca="false">IF(F68="","",IF(J68="Proficient","Yes","No"))</f>
        <v/>
      </c>
      <c r="L68" s="6" t="str">
        <f aca="false">IF(F68="","",INDEX({"Listening","Speaking","Reading","Writing"},MATCH(MIN(F68:I68),F68:I68,0)))</f>
        <v/>
      </c>
      <c r="M68" s="17"/>
      <c r="N68" s="6" t="str">
        <f aca="false">IF(OR(F68="",M68=""),"",ROUND(AVERAGE(F68:I68)-M68,1))</f>
        <v/>
      </c>
      <c r="O68" s="17"/>
      <c r="P68" s="17"/>
      <c r="Q68" s="17"/>
    </row>
    <row r="69" customFormat="false" ht="15" hidden="false" customHeight="tru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6" t="str">
        <f aca="false">IF(F69="","",IF(AND(F69&gt;=4,G69&gt;=4,H69&gt;=4,I69&gt;=4),"Proficient",IF(AND(F69&lt;=2,G69&lt;=2,H69&lt;=2,I69&lt;=2),"Emerging","Progressing")))</f>
        <v/>
      </c>
      <c r="K69" s="6" t="str">
        <f aca="false">IF(F69="","",IF(J69="Proficient","Yes","No"))</f>
        <v/>
      </c>
      <c r="L69" s="6" t="str">
        <f aca="false">IF(F69="","",INDEX({"Listening","Speaking","Reading","Writing"},MATCH(MIN(F69:I69),F69:I69,0)))</f>
        <v/>
      </c>
      <c r="M69" s="17"/>
      <c r="N69" s="6" t="str">
        <f aca="false">IF(OR(F69="",M69=""),"",ROUND(AVERAGE(F69:I69)-M69,1))</f>
        <v/>
      </c>
      <c r="O69" s="17"/>
      <c r="P69" s="17"/>
      <c r="Q69" s="17"/>
    </row>
    <row r="70" customFormat="false" ht="15" hidden="false" customHeight="tru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6" t="str">
        <f aca="false">IF(F70="","",IF(AND(F70&gt;=4,G70&gt;=4,H70&gt;=4,I70&gt;=4),"Proficient",IF(AND(F70&lt;=2,G70&lt;=2,H70&lt;=2,I70&lt;=2),"Emerging","Progressing")))</f>
        <v/>
      </c>
      <c r="K70" s="6" t="str">
        <f aca="false">IF(F70="","",IF(J70="Proficient","Yes","No"))</f>
        <v/>
      </c>
      <c r="L70" s="6" t="str">
        <f aca="false">IF(F70="","",INDEX({"Listening","Speaking","Reading","Writing"},MATCH(MIN(F70:I70),F70:I70,0)))</f>
        <v/>
      </c>
      <c r="M70" s="17"/>
      <c r="N70" s="6" t="str">
        <f aca="false">IF(OR(F70="",M70=""),"",ROUND(AVERAGE(F70:I70)-M70,1))</f>
        <v/>
      </c>
      <c r="O70" s="17"/>
      <c r="P70" s="17"/>
      <c r="Q70" s="17"/>
    </row>
    <row r="71" customFormat="false" ht="15" hidden="false" customHeight="tru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6" t="str">
        <f aca="false">IF(F71="","",IF(AND(F71&gt;=4,G71&gt;=4,H71&gt;=4,I71&gt;=4),"Proficient",IF(AND(F71&lt;=2,G71&lt;=2,H71&lt;=2,I71&lt;=2),"Emerging","Progressing")))</f>
        <v/>
      </c>
      <c r="K71" s="6" t="str">
        <f aca="false">IF(F71="","",IF(J71="Proficient","Yes","No"))</f>
        <v/>
      </c>
      <c r="L71" s="6" t="str">
        <f aca="false">IF(F71="","",INDEX({"Listening","Speaking","Reading","Writing"},MATCH(MIN(F71:I71),F71:I71,0)))</f>
        <v/>
      </c>
      <c r="M71" s="17"/>
      <c r="N71" s="6" t="str">
        <f aca="false">IF(OR(F71="",M71=""),"",ROUND(AVERAGE(F71:I71)-M71,1))</f>
        <v/>
      </c>
      <c r="O71" s="17"/>
      <c r="P71" s="17"/>
      <c r="Q71" s="17"/>
    </row>
    <row r="72" customFormat="false" ht="15" hidden="false" customHeight="tru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6" t="str">
        <f aca="false">IF(F72="","",IF(AND(F72&gt;=4,G72&gt;=4,H72&gt;=4,I72&gt;=4),"Proficient",IF(AND(F72&lt;=2,G72&lt;=2,H72&lt;=2,I72&lt;=2),"Emerging","Progressing")))</f>
        <v/>
      </c>
      <c r="K72" s="6" t="str">
        <f aca="false">IF(F72="","",IF(J72="Proficient","Yes","No"))</f>
        <v/>
      </c>
      <c r="L72" s="6" t="str">
        <f aca="false">IF(F72="","",INDEX({"Listening","Speaking","Reading","Writing"},MATCH(MIN(F72:I72),F72:I72,0)))</f>
        <v/>
      </c>
      <c r="M72" s="17"/>
      <c r="N72" s="6" t="str">
        <f aca="false">IF(OR(F72="",M72=""),"",ROUND(AVERAGE(F72:I72)-M72,1))</f>
        <v/>
      </c>
      <c r="O72" s="17"/>
      <c r="P72" s="17"/>
      <c r="Q72" s="17"/>
    </row>
    <row r="73" customFormat="false" ht="15" hidden="false" customHeight="tru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6" t="str">
        <f aca="false">IF(F73="","",IF(AND(F73&gt;=4,G73&gt;=4,H73&gt;=4,I73&gt;=4),"Proficient",IF(AND(F73&lt;=2,G73&lt;=2,H73&lt;=2,I73&lt;=2),"Emerging","Progressing")))</f>
        <v/>
      </c>
      <c r="K73" s="6" t="str">
        <f aca="false">IF(F73="","",IF(J73="Proficient","Yes","No"))</f>
        <v/>
      </c>
      <c r="L73" s="6" t="str">
        <f aca="false">IF(F73="","",INDEX({"Listening","Speaking","Reading","Writing"},MATCH(MIN(F73:I73),F73:I73,0)))</f>
        <v/>
      </c>
      <c r="M73" s="17"/>
      <c r="N73" s="6" t="str">
        <f aca="false">IF(OR(F73="",M73=""),"",ROUND(AVERAGE(F73:I73)-M73,1))</f>
        <v/>
      </c>
      <c r="O73" s="17"/>
      <c r="P73" s="17"/>
      <c r="Q73" s="17"/>
    </row>
    <row r="74" customFormat="false" ht="15" hidden="false" customHeight="tru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6" t="str">
        <f aca="false">IF(F74="","",IF(AND(F74&gt;=4,G74&gt;=4,H74&gt;=4,I74&gt;=4),"Proficient",IF(AND(F74&lt;=2,G74&lt;=2,H74&lt;=2,I74&lt;=2),"Emerging","Progressing")))</f>
        <v/>
      </c>
      <c r="K74" s="6" t="str">
        <f aca="false">IF(F74="","",IF(J74="Proficient","Yes","No"))</f>
        <v/>
      </c>
      <c r="L74" s="6" t="str">
        <f aca="false">IF(F74="","",INDEX({"Listening","Speaking","Reading","Writing"},MATCH(MIN(F74:I74),F74:I74,0)))</f>
        <v/>
      </c>
      <c r="M74" s="17"/>
      <c r="N74" s="6" t="str">
        <f aca="false">IF(OR(F74="",M74=""),"",ROUND(AVERAGE(F74:I74)-M74,1))</f>
        <v/>
      </c>
      <c r="O74" s="17"/>
      <c r="P74" s="17"/>
      <c r="Q74" s="17"/>
    </row>
    <row r="75" customFormat="false" ht="15" hidden="false" customHeight="tru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6" t="str">
        <f aca="false">IF(F75="","",IF(AND(F75&gt;=4,G75&gt;=4,H75&gt;=4,I75&gt;=4),"Proficient",IF(AND(F75&lt;=2,G75&lt;=2,H75&lt;=2,I75&lt;=2),"Emerging","Progressing")))</f>
        <v/>
      </c>
      <c r="K75" s="6" t="str">
        <f aca="false">IF(F75="","",IF(J75="Proficient","Yes","No"))</f>
        <v/>
      </c>
      <c r="L75" s="6" t="str">
        <f aca="false">IF(F75="","",INDEX({"Listening","Speaking","Reading","Writing"},MATCH(MIN(F75:I75),F75:I75,0)))</f>
        <v/>
      </c>
      <c r="M75" s="17"/>
      <c r="N75" s="6" t="str">
        <f aca="false">IF(OR(F75="",M75=""),"",ROUND(AVERAGE(F75:I75)-M75,1))</f>
        <v/>
      </c>
      <c r="O75" s="17"/>
      <c r="P75" s="17"/>
      <c r="Q75" s="17"/>
    </row>
    <row r="76" customFormat="false" ht="15" hidden="false" customHeight="tru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6" t="str">
        <f aca="false">IF(F76="","",IF(AND(F76&gt;=4,G76&gt;=4,H76&gt;=4,I76&gt;=4),"Proficient",IF(AND(F76&lt;=2,G76&lt;=2,H76&lt;=2,I76&lt;=2),"Emerging","Progressing")))</f>
        <v/>
      </c>
      <c r="K76" s="6" t="str">
        <f aca="false">IF(F76="","",IF(J76="Proficient","Yes","No"))</f>
        <v/>
      </c>
      <c r="L76" s="6" t="str">
        <f aca="false">IF(F76="","",INDEX({"Listening","Speaking","Reading","Writing"},MATCH(MIN(F76:I76),F76:I76,0)))</f>
        <v/>
      </c>
      <c r="M76" s="17"/>
      <c r="N76" s="6" t="str">
        <f aca="false">IF(OR(F76="",M76=""),"",ROUND(AVERAGE(F76:I76)-M76,1))</f>
        <v/>
      </c>
      <c r="O76" s="17"/>
      <c r="P76" s="17"/>
      <c r="Q76" s="17"/>
    </row>
    <row r="77" customFormat="false" ht="15" hidden="false" customHeight="tru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6" t="str">
        <f aca="false">IF(F77="","",IF(AND(F77&gt;=4,G77&gt;=4,H77&gt;=4,I77&gt;=4),"Proficient",IF(AND(F77&lt;=2,G77&lt;=2,H77&lt;=2,I77&lt;=2),"Emerging","Progressing")))</f>
        <v/>
      </c>
      <c r="K77" s="6" t="str">
        <f aca="false">IF(F77="","",IF(J77="Proficient","Yes","No"))</f>
        <v/>
      </c>
      <c r="L77" s="6" t="str">
        <f aca="false">IF(F77="","",INDEX({"Listening","Speaking","Reading","Writing"},MATCH(MIN(F77:I77),F77:I77,0)))</f>
        <v/>
      </c>
      <c r="M77" s="17"/>
      <c r="N77" s="6" t="str">
        <f aca="false">IF(OR(F77="",M77=""),"",ROUND(AVERAGE(F77:I77)-M77,1))</f>
        <v/>
      </c>
      <c r="O77" s="17"/>
      <c r="P77" s="17"/>
      <c r="Q77" s="17"/>
    </row>
    <row r="78" customFormat="false" ht="15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6" t="str">
        <f aca="false">IF(F78="","",IF(AND(F78&gt;=4,G78&gt;=4,H78&gt;=4,I78&gt;=4),"Proficient",IF(AND(F78&lt;=2,G78&lt;=2,H78&lt;=2,I78&lt;=2),"Emerging","Progressing")))</f>
        <v/>
      </c>
      <c r="K78" s="6" t="str">
        <f aca="false">IF(F78="","",IF(J78="Proficient","Yes","No"))</f>
        <v/>
      </c>
      <c r="L78" s="6" t="str">
        <f aca="false">IF(F78="","",INDEX({"Listening","Speaking","Reading","Writing"},MATCH(MIN(F78:I78),F78:I78,0)))</f>
        <v/>
      </c>
      <c r="M78" s="17"/>
      <c r="N78" s="6" t="str">
        <f aca="false">IF(OR(F78="",M78=""),"",ROUND(AVERAGE(F78:I78)-M78,1))</f>
        <v/>
      </c>
      <c r="O78" s="17"/>
      <c r="P78" s="17"/>
      <c r="Q78" s="17"/>
    </row>
    <row r="79" customFormat="false" ht="15" hidden="false" customHeight="tru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6" t="str">
        <f aca="false">IF(F79="","",IF(AND(F79&gt;=4,G79&gt;=4,H79&gt;=4,I79&gt;=4),"Proficient",IF(AND(F79&lt;=2,G79&lt;=2,H79&lt;=2,I79&lt;=2),"Emerging","Progressing")))</f>
        <v/>
      </c>
      <c r="K79" s="6" t="str">
        <f aca="false">IF(F79="","",IF(J79="Proficient","Yes","No"))</f>
        <v/>
      </c>
      <c r="L79" s="6" t="str">
        <f aca="false">IF(F79="","",INDEX({"Listening","Speaking","Reading","Writing"},MATCH(MIN(F79:I79),F79:I79,0)))</f>
        <v/>
      </c>
      <c r="M79" s="17"/>
      <c r="N79" s="6" t="str">
        <f aca="false">IF(OR(F79="",M79=""),"",ROUND(AVERAGE(F79:I79)-M79,1))</f>
        <v/>
      </c>
      <c r="O79" s="17"/>
      <c r="P79" s="17"/>
      <c r="Q79" s="17"/>
    </row>
    <row r="80" customFormat="false" ht="15" hidden="false" customHeight="tru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6" t="str">
        <f aca="false">IF(F80="","",IF(AND(F80&gt;=4,G80&gt;=4,H80&gt;=4,I80&gt;=4),"Proficient",IF(AND(F80&lt;=2,G80&lt;=2,H80&lt;=2,I80&lt;=2),"Emerging","Progressing")))</f>
        <v/>
      </c>
      <c r="K80" s="6" t="str">
        <f aca="false">IF(F80="","",IF(J80="Proficient","Yes","No"))</f>
        <v/>
      </c>
      <c r="L80" s="6" t="str">
        <f aca="false">IF(F80="","",INDEX({"Listening","Speaking","Reading","Writing"},MATCH(MIN(F80:I80),F80:I80,0)))</f>
        <v/>
      </c>
      <c r="M80" s="17"/>
      <c r="N80" s="6" t="str">
        <f aca="false">IF(OR(F80="",M80=""),"",ROUND(AVERAGE(F80:I80)-M80,1))</f>
        <v/>
      </c>
      <c r="O80" s="17"/>
      <c r="P80" s="17"/>
      <c r="Q80" s="17"/>
    </row>
    <row r="81" customFormat="false" ht="15" hidden="false" customHeight="tru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6" t="str">
        <f aca="false">IF(F81="","",IF(AND(F81&gt;=4,G81&gt;=4,H81&gt;=4,I81&gt;=4),"Proficient",IF(AND(F81&lt;=2,G81&lt;=2,H81&lt;=2,I81&lt;=2),"Emerging","Progressing")))</f>
        <v/>
      </c>
      <c r="K81" s="6" t="str">
        <f aca="false">IF(F81="","",IF(J81="Proficient","Yes","No"))</f>
        <v/>
      </c>
      <c r="L81" s="6" t="str">
        <f aca="false">IF(F81="","",INDEX({"Listening","Speaking","Reading","Writing"},MATCH(MIN(F81:I81),F81:I81,0)))</f>
        <v/>
      </c>
      <c r="M81" s="17"/>
      <c r="N81" s="6" t="str">
        <f aca="false">IF(OR(F81="",M81=""),"",ROUND(AVERAGE(F81:I81)-M81,1))</f>
        <v/>
      </c>
      <c r="O81" s="17"/>
      <c r="P81" s="17"/>
      <c r="Q81" s="17"/>
    </row>
    <row r="82" customFormat="false" ht="15" hidden="false" customHeight="tru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6" t="str">
        <f aca="false">IF(F82="","",IF(AND(F82&gt;=4,G82&gt;=4,H82&gt;=4,I82&gt;=4),"Proficient",IF(AND(F82&lt;=2,G82&lt;=2,H82&lt;=2,I82&lt;=2),"Emerging","Progressing")))</f>
        <v/>
      </c>
      <c r="K82" s="6" t="str">
        <f aca="false">IF(F82="","",IF(J82="Proficient","Yes","No"))</f>
        <v/>
      </c>
      <c r="L82" s="6" t="str">
        <f aca="false">IF(F82="","",INDEX({"Listening","Speaking","Reading","Writing"},MATCH(MIN(F82:I82),F82:I82,0)))</f>
        <v/>
      </c>
      <c r="M82" s="17"/>
      <c r="N82" s="6" t="str">
        <f aca="false">IF(OR(F82="",M82=""),"",ROUND(AVERAGE(F82:I82)-M82,1))</f>
        <v/>
      </c>
      <c r="O82" s="17"/>
      <c r="P82" s="17"/>
      <c r="Q82" s="17"/>
    </row>
    <row r="83" customFormat="false" ht="15" hidden="false" customHeight="tru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6" t="str">
        <f aca="false">IF(F83="","",IF(AND(F83&gt;=4,G83&gt;=4,H83&gt;=4,I83&gt;=4),"Proficient",IF(AND(F83&lt;=2,G83&lt;=2,H83&lt;=2,I83&lt;=2),"Emerging","Progressing")))</f>
        <v/>
      </c>
      <c r="K83" s="6" t="str">
        <f aca="false">IF(F83="","",IF(J83="Proficient","Yes","No"))</f>
        <v/>
      </c>
      <c r="L83" s="6" t="str">
        <f aca="false">IF(F83="","",INDEX({"Listening","Speaking","Reading","Writing"},MATCH(MIN(F83:I83),F83:I83,0)))</f>
        <v/>
      </c>
      <c r="M83" s="17"/>
      <c r="N83" s="6" t="str">
        <f aca="false">IF(OR(F83="",M83=""),"",ROUND(AVERAGE(F83:I83)-M83,1))</f>
        <v/>
      </c>
      <c r="O83" s="17"/>
      <c r="P83" s="17"/>
      <c r="Q83" s="17"/>
    </row>
    <row r="84" customFormat="false" ht="15" hidden="false" customHeight="tru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6" t="str">
        <f aca="false">IF(F84="","",IF(AND(F84&gt;=4,G84&gt;=4,H84&gt;=4,I84&gt;=4),"Proficient",IF(AND(F84&lt;=2,G84&lt;=2,H84&lt;=2,I84&lt;=2),"Emerging","Progressing")))</f>
        <v/>
      </c>
      <c r="K84" s="6" t="str">
        <f aca="false">IF(F84="","",IF(J84="Proficient","Yes","No"))</f>
        <v/>
      </c>
      <c r="L84" s="6" t="str">
        <f aca="false">IF(F84="","",INDEX({"Listening","Speaking","Reading","Writing"},MATCH(MIN(F84:I84),F84:I84,0)))</f>
        <v/>
      </c>
      <c r="M84" s="17"/>
      <c r="N84" s="6" t="str">
        <f aca="false">IF(OR(F84="",M84=""),"",ROUND(AVERAGE(F84:I84)-M84,1))</f>
        <v/>
      </c>
      <c r="O84" s="17"/>
      <c r="P84" s="17"/>
      <c r="Q84" s="17"/>
    </row>
    <row r="85" customFormat="false" ht="15" hidden="false" customHeight="tru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6" t="str">
        <f aca="false">IF(F85="","",IF(AND(F85&gt;=4,G85&gt;=4,H85&gt;=4,I85&gt;=4),"Proficient",IF(AND(F85&lt;=2,G85&lt;=2,H85&lt;=2,I85&lt;=2),"Emerging","Progressing")))</f>
        <v/>
      </c>
      <c r="K85" s="6" t="str">
        <f aca="false">IF(F85="","",IF(J85="Proficient","Yes","No"))</f>
        <v/>
      </c>
      <c r="L85" s="6" t="str">
        <f aca="false">IF(F85="","",INDEX({"Listening","Speaking","Reading","Writing"},MATCH(MIN(F85:I85),F85:I85,0)))</f>
        <v/>
      </c>
      <c r="M85" s="17"/>
      <c r="N85" s="6" t="str">
        <f aca="false">IF(OR(F85="",M85=""),"",ROUND(AVERAGE(F85:I85)-M85,1))</f>
        <v/>
      </c>
      <c r="O85" s="17"/>
      <c r="P85" s="17"/>
      <c r="Q85" s="17"/>
    </row>
    <row r="86" customFormat="false" ht="15" hidden="false" customHeight="tru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6" t="str">
        <f aca="false">IF(F86="","",IF(AND(F86&gt;=4,G86&gt;=4,H86&gt;=4,I86&gt;=4),"Proficient",IF(AND(F86&lt;=2,G86&lt;=2,H86&lt;=2,I86&lt;=2),"Emerging","Progressing")))</f>
        <v/>
      </c>
      <c r="K86" s="6" t="str">
        <f aca="false">IF(F86="","",IF(J86="Proficient","Yes","No"))</f>
        <v/>
      </c>
      <c r="L86" s="6" t="str">
        <f aca="false">IF(F86="","",INDEX({"Listening","Speaking","Reading","Writing"},MATCH(MIN(F86:I86),F86:I86,0)))</f>
        <v/>
      </c>
      <c r="M86" s="17"/>
      <c r="N86" s="6" t="str">
        <f aca="false">IF(OR(F86="",M86=""),"",ROUND(AVERAGE(F86:I86)-M86,1))</f>
        <v/>
      </c>
      <c r="O86" s="17"/>
      <c r="P86" s="17"/>
      <c r="Q86" s="17"/>
    </row>
    <row r="87" customFormat="false" ht="15" hidden="false" customHeight="tru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6" t="str">
        <f aca="false">IF(F87="","",IF(AND(F87&gt;=4,G87&gt;=4,H87&gt;=4,I87&gt;=4),"Proficient",IF(AND(F87&lt;=2,G87&lt;=2,H87&lt;=2,I87&lt;=2),"Emerging","Progressing")))</f>
        <v/>
      </c>
      <c r="K87" s="6" t="str">
        <f aca="false">IF(F87="","",IF(J87="Proficient","Yes","No"))</f>
        <v/>
      </c>
      <c r="L87" s="6" t="str">
        <f aca="false">IF(F87="","",INDEX({"Listening","Speaking","Reading","Writing"},MATCH(MIN(F87:I87),F87:I87,0)))</f>
        <v/>
      </c>
      <c r="M87" s="17"/>
      <c r="N87" s="6" t="str">
        <f aca="false">IF(OR(F87="",M87=""),"",ROUND(AVERAGE(F87:I87)-M87,1))</f>
        <v/>
      </c>
      <c r="O87" s="17"/>
      <c r="P87" s="17"/>
      <c r="Q87" s="17"/>
    </row>
    <row r="88" customFormat="false" ht="15" hidden="false" customHeight="tru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6" t="str">
        <f aca="false">IF(F88="","",IF(AND(F88&gt;=4,G88&gt;=4,H88&gt;=4,I88&gt;=4),"Proficient",IF(AND(F88&lt;=2,G88&lt;=2,H88&lt;=2,I88&lt;=2),"Emerging","Progressing")))</f>
        <v/>
      </c>
      <c r="K88" s="6" t="str">
        <f aca="false">IF(F88="","",IF(J88="Proficient","Yes","No"))</f>
        <v/>
      </c>
      <c r="L88" s="6" t="str">
        <f aca="false">IF(F88="","",INDEX({"Listening","Speaking","Reading","Writing"},MATCH(MIN(F88:I88),F88:I88,0)))</f>
        <v/>
      </c>
      <c r="M88" s="17"/>
      <c r="N88" s="6" t="str">
        <f aca="false">IF(OR(F88="",M88=""),"",ROUND(AVERAGE(F88:I88)-M88,1))</f>
        <v/>
      </c>
      <c r="O88" s="17"/>
      <c r="P88" s="17"/>
      <c r="Q88" s="17"/>
    </row>
    <row r="89" customFormat="false" ht="15" hidden="false" customHeight="tru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6" t="str">
        <f aca="false">IF(F89="","",IF(AND(F89&gt;=4,G89&gt;=4,H89&gt;=4,I89&gt;=4),"Proficient",IF(AND(F89&lt;=2,G89&lt;=2,H89&lt;=2,I89&lt;=2),"Emerging","Progressing")))</f>
        <v/>
      </c>
      <c r="K89" s="6" t="str">
        <f aca="false">IF(F89="","",IF(J89="Proficient","Yes","No"))</f>
        <v/>
      </c>
      <c r="L89" s="6" t="str">
        <f aca="false">IF(F89="","",INDEX({"Listening","Speaking","Reading","Writing"},MATCH(MIN(F89:I89),F89:I89,0)))</f>
        <v/>
      </c>
      <c r="M89" s="17"/>
      <c r="N89" s="6" t="str">
        <f aca="false">IF(OR(F89="",M89=""),"",ROUND(AVERAGE(F89:I89)-M89,1))</f>
        <v/>
      </c>
      <c r="O89" s="17"/>
      <c r="P89" s="17"/>
      <c r="Q89" s="17"/>
    </row>
    <row r="90" customFormat="false" ht="15" hidden="false" customHeight="tru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6" t="str">
        <f aca="false">IF(F90="","",IF(AND(F90&gt;=4,G90&gt;=4,H90&gt;=4,I90&gt;=4),"Proficient",IF(AND(F90&lt;=2,G90&lt;=2,H90&lt;=2,I90&lt;=2),"Emerging","Progressing")))</f>
        <v/>
      </c>
      <c r="K90" s="6" t="str">
        <f aca="false">IF(F90="","",IF(J90="Proficient","Yes","No"))</f>
        <v/>
      </c>
      <c r="L90" s="6" t="str">
        <f aca="false">IF(F90="","",INDEX({"Listening","Speaking","Reading","Writing"},MATCH(MIN(F90:I90),F90:I90,0)))</f>
        <v/>
      </c>
      <c r="M90" s="17"/>
      <c r="N90" s="6" t="str">
        <f aca="false">IF(OR(F90="",M90=""),"",ROUND(AVERAGE(F90:I90)-M90,1))</f>
        <v/>
      </c>
      <c r="O90" s="17"/>
      <c r="P90" s="17"/>
      <c r="Q90" s="17"/>
    </row>
    <row r="91" customFormat="false" ht="15" hidden="false" customHeight="tru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6" t="str">
        <f aca="false">IF(F91="","",IF(AND(F91&gt;=4,G91&gt;=4,H91&gt;=4,I91&gt;=4),"Proficient",IF(AND(F91&lt;=2,G91&lt;=2,H91&lt;=2,I91&lt;=2),"Emerging","Progressing")))</f>
        <v/>
      </c>
      <c r="K91" s="6" t="str">
        <f aca="false">IF(F91="","",IF(J91="Proficient","Yes","No"))</f>
        <v/>
      </c>
      <c r="L91" s="6" t="str">
        <f aca="false">IF(F91="","",INDEX({"Listening","Speaking","Reading","Writing"},MATCH(MIN(F91:I91),F91:I91,0)))</f>
        <v/>
      </c>
      <c r="M91" s="17"/>
      <c r="N91" s="6" t="str">
        <f aca="false">IF(OR(F91="",M91=""),"",ROUND(AVERAGE(F91:I91)-M91,1))</f>
        <v/>
      </c>
      <c r="O91" s="17"/>
      <c r="P91" s="17"/>
      <c r="Q91" s="17"/>
    </row>
    <row r="92" customFormat="false" ht="15" hidden="false" customHeight="tru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6" t="str">
        <f aca="false">IF(F92="","",IF(AND(F92&gt;=4,G92&gt;=4,H92&gt;=4,I92&gt;=4),"Proficient",IF(AND(F92&lt;=2,G92&lt;=2,H92&lt;=2,I92&lt;=2),"Emerging","Progressing")))</f>
        <v/>
      </c>
      <c r="K92" s="6" t="str">
        <f aca="false">IF(F92="","",IF(J92="Proficient","Yes","No"))</f>
        <v/>
      </c>
      <c r="L92" s="6" t="str">
        <f aca="false">IF(F92="","",INDEX({"Listening","Speaking","Reading","Writing"},MATCH(MIN(F92:I92),F92:I92,0)))</f>
        <v/>
      </c>
      <c r="M92" s="17"/>
      <c r="N92" s="6" t="str">
        <f aca="false">IF(OR(F92="",M92=""),"",ROUND(AVERAGE(F92:I92)-M92,1))</f>
        <v/>
      </c>
      <c r="O92" s="17"/>
      <c r="P92" s="17"/>
      <c r="Q92" s="17"/>
    </row>
    <row r="93" customFormat="false" ht="15" hidden="false" customHeight="tru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6" t="str">
        <f aca="false">IF(F93="","",IF(AND(F93&gt;=4,G93&gt;=4,H93&gt;=4,I93&gt;=4),"Proficient",IF(AND(F93&lt;=2,G93&lt;=2,H93&lt;=2,I93&lt;=2),"Emerging","Progressing")))</f>
        <v/>
      </c>
      <c r="K93" s="6" t="str">
        <f aca="false">IF(F93="","",IF(J93="Proficient","Yes","No"))</f>
        <v/>
      </c>
      <c r="L93" s="6" t="str">
        <f aca="false">IF(F93="","",INDEX({"Listening","Speaking","Reading","Writing"},MATCH(MIN(F93:I93),F93:I93,0)))</f>
        <v/>
      </c>
      <c r="M93" s="17"/>
      <c r="N93" s="6" t="str">
        <f aca="false">IF(OR(F93="",M93=""),"",ROUND(AVERAGE(F93:I93)-M93,1))</f>
        <v/>
      </c>
      <c r="O93" s="17"/>
      <c r="P93" s="17"/>
      <c r="Q93" s="17"/>
    </row>
    <row r="94" customFormat="false" ht="15" hidden="false" customHeight="tru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6" t="str">
        <f aca="false">IF(F94="","",IF(AND(F94&gt;=4,G94&gt;=4,H94&gt;=4,I94&gt;=4),"Proficient",IF(AND(F94&lt;=2,G94&lt;=2,H94&lt;=2,I94&lt;=2),"Emerging","Progressing")))</f>
        <v/>
      </c>
      <c r="K94" s="6" t="str">
        <f aca="false">IF(F94="","",IF(J94="Proficient","Yes","No"))</f>
        <v/>
      </c>
      <c r="L94" s="6" t="str">
        <f aca="false">IF(F94="","",INDEX({"Listening","Speaking","Reading","Writing"},MATCH(MIN(F94:I94),F94:I94,0)))</f>
        <v/>
      </c>
      <c r="M94" s="17"/>
      <c r="N94" s="6" t="str">
        <f aca="false">IF(OR(F94="",M94=""),"",ROUND(AVERAGE(F94:I94)-M94,1))</f>
        <v/>
      </c>
      <c r="O94" s="17"/>
      <c r="P94" s="17"/>
      <c r="Q94" s="17"/>
    </row>
    <row r="95" customFormat="false" ht="15" hidden="false" customHeight="tru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6" t="str">
        <f aca="false">IF(F95="","",IF(AND(F95&gt;=4,G95&gt;=4,H95&gt;=4,I95&gt;=4),"Proficient",IF(AND(F95&lt;=2,G95&lt;=2,H95&lt;=2,I95&lt;=2),"Emerging","Progressing")))</f>
        <v/>
      </c>
      <c r="K95" s="6" t="str">
        <f aca="false">IF(F95="","",IF(J95="Proficient","Yes","No"))</f>
        <v/>
      </c>
      <c r="L95" s="6" t="str">
        <f aca="false">IF(F95="","",INDEX({"Listening","Speaking","Reading","Writing"},MATCH(MIN(F95:I95),F95:I95,0)))</f>
        <v/>
      </c>
      <c r="M95" s="17"/>
      <c r="N95" s="6" t="str">
        <f aca="false">IF(OR(F95="",M95=""),"",ROUND(AVERAGE(F95:I95)-M95,1))</f>
        <v/>
      </c>
      <c r="O95" s="17"/>
      <c r="P95" s="17"/>
      <c r="Q95" s="17"/>
    </row>
    <row r="96" customFormat="false" ht="15" hidden="false" customHeight="tru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6" t="str">
        <f aca="false">IF(F96="","",IF(AND(F96&gt;=4,G96&gt;=4,H96&gt;=4,I96&gt;=4),"Proficient",IF(AND(F96&lt;=2,G96&lt;=2,H96&lt;=2,I96&lt;=2),"Emerging","Progressing")))</f>
        <v/>
      </c>
      <c r="K96" s="6" t="str">
        <f aca="false">IF(F96="","",IF(J96="Proficient","Yes","No"))</f>
        <v/>
      </c>
      <c r="L96" s="6" t="str">
        <f aca="false">IF(F96="","",INDEX({"Listening","Speaking","Reading","Writing"},MATCH(MIN(F96:I96),F96:I96,0)))</f>
        <v/>
      </c>
      <c r="M96" s="17"/>
      <c r="N96" s="6" t="str">
        <f aca="false">IF(OR(F96="",M96=""),"",ROUND(AVERAGE(F96:I96)-M96,1))</f>
        <v/>
      </c>
      <c r="O96" s="17"/>
      <c r="P96" s="17"/>
      <c r="Q96" s="17"/>
    </row>
    <row r="97" customFormat="false" ht="15" hidden="false" customHeight="tru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6" t="str">
        <f aca="false">IF(F97="","",IF(AND(F97&gt;=4,G97&gt;=4,H97&gt;=4,I97&gt;=4),"Proficient",IF(AND(F97&lt;=2,G97&lt;=2,H97&lt;=2,I97&lt;=2),"Emerging","Progressing")))</f>
        <v/>
      </c>
      <c r="K97" s="6" t="str">
        <f aca="false">IF(F97="","",IF(J97="Proficient","Yes","No"))</f>
        <v/>
      </c>
      <c r="L97" s="6" t="str">
        <f aca="false">IF(F97="","",INDEX({"Listening","Speaking","Reading","Writing"},MATCH(MIN(F97:I97),F97:I97,0)))</f>
        <v/>
      </c>
      <c r="M97" s="17"/>
      <c r="N97" s="6" t="str">
        <f aca="false">IF(OR(F97="",M97=""),"",ROUND(AVERAGE(F97:I97)-M97,1))</f>
        <v/>
      </c>
      <c r="O97" s="17"/>
      <c r="P97" s="17"/>
      <c r="Q97" s="17"/>
    </row>
    <row r="98" customFormat="false" ht="15" hidden="false" customHeight="tru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6" t="str">
        <f aca="false">IF(F98="","",IF(AND(F98&gt;=4,G98&gt;=4,H98&gt;=4,I98&gt;=4),"Proficient",IF(AND(F98&lt;=2,G98&lt;=2,H98&lt;=2,I98&lt;=2),"Emerging","Progressing")))</f>
        <v/>
      </c>
      <c r="K98" s="6" t="str">
        <f aca="false">IF(F98="","",IF(J98="Proficient","Yes","No"))</f>
        <v/>
      </c>
      <c r="L98" s="6" t="str">
        <f aca="false">IF(F98="","",INDEX({"Listening","Speaking","Reading","Writing"},MATCH(MIN(F98:I98),F98:I98,0)))</f>
        <v/>
      </c>
      <c r="M98" s="17"/>
      <c r="N98" s="6" t="str">
        <f aca="false">IF(OR(F98="",M98=""),"",ROUND(AVERAGE(F98:I98)-M98,1))</f>
        <v/>
      </c>
      <c r="O98" s="17"/>
      <c r="P98" s="17"/>
      <c r="Q98" s="17"/>
    </row>
    <row r="99" customFormat="false" ht="15" hidden="false" customHeight="tru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6" t="str">
        <f aca="false">IF(F99="","",IF(AND(F99&gt;=4,G99&gt;=4,H99&gt;=4,I99&gt;=4),"Proficient",IF(AND(F99&lt;=2,G99&lt;=2,H99&lt;=2,I99&lt;=2),"Emerging","Progressing")))</f>
        <v/>
      </c>
      <c r="K99" s="6" t="str">
        <f aca="false">IF(F99="","",IF(J99="Proficient","Yes","No"))</f>
        <v/>
      </c>
      <c r="L99" s="6" t="str">
        <f aca="false">IF(F99="","",INDEX({"Listening","Speaking","Reading","Writing"},MATCH(MIN(F99:I99),F99:I99,0)))</f>
        <v/>
      </c>
      <c r="M99" s="17"/>
      <c r="N99" s="6" t="str">
        <f aca="false">IF(OR(F99="",M99=""),"",ROUND(AVERAGE(F99:I99)-M99,1))</f>
        <v/>
      </c>
      <c r="O99" s="17"/>
      <c r="P99" s="17"/>
      <c r="Q99" s="17"/>
    </row>
    <row r="100" customFormat="false" ht="15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6" t="str">
        <f aca="false">IF(F100="","",IF(AND(F100&gt;=4,G100&gt;=4,H100&gt;=4,I100&gt;=4),"Proficient",IF(AND(F100&lt;=2,G100&lt;=2,H100&lt;=2,I100&lt;=2),"Emerging","Progressing")))</f>
        <v/>
      </c>
      <c r="K100" s="6" t="str">
        <f aca="false">IF(F100="","",IF(J100="Proficient","Yes","No"))</f>
        <v/>
      </c>
      <c r="L100" s="6" t="str">
        <f aca="false">IF(F100="","",INDEX({"Listening","Speaking","Reading","Writing"},MATCH(MIN(F100:I100),F100:I100,0)))</f>
        <v/>
      </c>
      <c r="M100" s="17"/>
      <c r="N100" s="6" t="str">
        <f aca="false">IF(OR(F100="",M100=""),"",ROUND(AVERAGE(F100:I100)-M100,1))</f>
        <v/>
      </c>
      <c r="O100" s="17"/>
      <c r="P100" s="17"/>
      <c r="Q100" s="17"/>
    </row>
    <row r="101" customFormat="false" ht="15" hidden="false" customHeight="tru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6" t="str">
        <f aca="false">IF(F101="","",IF(AND(F101&gt;=4,G101&gt;=4,H101&gt;=4,I101&gt;=4),"Proficient",IF(AND(F101&lt;=2,G101&lt;=2,H101&lt;=2,I101&lt;=2),"Emerging","Progressing")))</f>
        <v/>
      </c>
      <c r="K101" s="6" t="str">
        <f aca="false">IF(F101="","",IF(J101="Proficient","Yes","No"))</f>
        <v/>
      </c>
      <c r="L101" s="6" t="str">
        <f aca="false">IF(F101="","",INDEX({"Listening","Speaking","Reading","Writing"},MATCH(MIN(F101:I101),F101:I101,0)))</f>
        <v/>
      </c>
      <c r="M101" s="17"/>
      <c r="N101" s="6" t="str">
        <f aca="false">IF(OR(F101="",M101=""),"",ROUND(AVERAGE(F101:I101)-M101,1))</f>
        <v/>
      </c>
      <c r="O101" s="17"/>
      <c r="P101" s="17"/>
      <c r="Q101" s="17"/>
    </row>
    <row r="102" customFormat="false" ht="15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6" t="str">
        <f aca="false">IF(F102="","",IF(AND(F102&gt;=4,G102&gt;=4,H102&gt;=4,I102&gt;=4),"Proficient",IF(AND(F102&lt;=2,G102&lt;=2,H102&lt;=2,I102&lt;=2),"Emerging","Progressing")))</f>
        <v/>
      </c>
      <c r="K102" s="6" t="str">
        <f aca="false">IF(F102="","",IF(J102="Proficient","Yes","No"))</f>
        <v/>
      </c>
      <c r="L102" s="6" t="str">
        <f aca="false">IF(F102="","",INDEX({"Listening","Speaking","Reading","Writing"},MATCH(MIN(F102:I102),F102:I102,0)))</f>
        <v/>
      </c>
      <c r="M102" s="17"/>
      <c r="N102" s="6" t="str">
        <f aca="false">IF(OR(F102="",M102=""),"",ROUND(AVERAGE(F102:I102)-M102,1))</f>
        <v/>
      </c>
      <c r="O102" s="17"/>
      <c r="P102" s="17"/>
      <c r="Q102" s="17"/>
    </row>
    <row r="103" customFormat="false" ht="15" hidden="false" customHeight="tru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6" t="str">
        <f aca="false">IF(F103="","",IF(AND(F103&gt;=4,G103&gt;=4,H103&gt;=4,I103&gt;=4),"Proficient",IF(AND(F103&lt;=2,G103&lt;=2,H103&lt;=2,I103&lt;=2),"Emerging","Progressing")))</f>
        <v/>
      </c>
      <c r="K103" s="6" t="str">
        <f aca="false">IF(F103="","",IF(J103="Proficient","Yes","No"))</f>
        <v/>
      </c>
      <c r="L103" s="6" t="str">
        <f aca="false">IF(F103="","",INDEX({"Listening","Speaking","Reading","Writing"},MATCH(MIN(F103:I103),F103:I103,0)))</f>
        <v/>
      </c>
      <c r="M103" s="17"/>
      <c r="N103" s="6" t="str">
        <f aca="false">IF(OR(F103="",M103=""),"",ROUND(AVERAGE(F103:I103)-M103,1))</f>
        <v/>
      </c>
      <c r="O103" s="17"/>
      <c r="P103" s="17"/>
      <c r="Q103" s="17"/>
    </row>
    <row r="104" customFormat="false" ht="15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6" t="str">
        <f aca="false">IF(F104="","",IF(AND(F104&gt;=4,G104&gt;=4,H104&gt;=4,I104&gt;=4),"Proficient",IF(AND(F104&lt;=2,G104&lt;=2,H104&lt;=2,I104&lt;=2),"Emerging","Progressing")))</f>
        <v/>
      </c>
      <c r="K104" s="6" t="str">
        <f aca="false">IF(F104="","",IF(J104="Proficient","Yes","No"))</f>
        <v/>
      </c>
      <c r="L104" s="6" t="str">
        <f aca="false">IF(F104="","",INDEX({"Listening","Speaking","Reading","Writing"},MATCH(MIN(F104:I104),F104:I104,0)))</f>
        <v/>
      </c>
      <c r="M104" s="17"/>
      <c r="N104" s="6" t="str">
        <f aca="false">IF(OR(F104="",M104=""),"",ROUND(AVERAGE(F104:I104)-M104,1))</f>
        <v/>
      </c>
      <c r="O104" s="17"/>
      <c r="P104" s="17"/>
      <c r="Q104" s="17"/>
    </row>
    <row r="105" customFormat="false" ht="15" hidden="false" customHeight="tru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6" t="str">
        <f aca="false">IF(F105="","",IF(AND(F105&gt;=4,G105&gt;=4,H105&gt;=4,I105&gt;=4),"Proficient",IF(AND(F105&lt;=2,G105&lt;=2,H105&lt;=2,I105&lt;=2),"Emerging","Progressing")))</f>
        <v/>
      </c>
      <c r="K105" s="6" t="str">
        <f aca="false">IF(F105="","",IF(J105="Proficient","Yes","No"))</f>
        <v/>
      </c>
      <c r="L105" s="6" t="str">
        <f aca="false">IF(F105="","",INDEX({"Listening","Speaking","Reading","Writing"},MATCH(MIN(F105:I105),F105:I105,0)))</f>
        <v/>
      </c>
      <c r="M105" s="17"/>
      <c r="N105" s="6" t="str">
        <f aca="false">IF(OR(F105="",M105=""),"",ROUND(AVERAGE(F105:I105)-M105,1))</f>
        <v/>
      </c>
      <c r="O105" s="17"/>
      <c r="P105" s="17"/>
      <c r="Q105" s="17"/>
    </row>
    <row r="106" customFormat="false" ht="15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6" t="str">
        <f aca="false">IF(F106="","",IF(AND(F106&gt;=4,G106&gt;=4,H106&gt;=4,I106&gt;=4),"Proficient",IF(AND(F106&lt;=2,G106&lt;=2,H106&lt;=2,I106&lt;=2),"Emerging","Progressing")))</f>
        <v/>
      </c>
      <c r="K106" s="6" t="str">
        <f aca="false">IF(F106="","",IF(J106="Proficient","Yes","No"))</f>
        <v/>
      </c>
      <c r="L106" s="6" t="str">
        <f aca="false">IF(F106="","",INDEX({"Listening","Speaking","Reading","Writing"},MATCH(MIN(F106:I106),F106:I106,0)))</f>
        <v/>
      </c>
      <c r="M106" s="17"/>
      <c r="N106" s="6" t="str">
        <f aca="false">IF(OR(F106="",M106=""),"",ROUND(AVERAGE(F106:I106)-M106,1))</f>
        <v/>
      </c>
      <c r="O106" s="17"/>
      <c r="P106" s="17"/>
      <c r="Q106" s="17"/>
    </row>
    <row r="107" customFormat="false" ht="15" hidden="false" customHeight="tru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6" t="str">
        <f aca="false">IF(F107="","",IF(AND(F107&gt;=4,G107&gt;=4,H107&gt;=4,I107&gt;=4),"Proficient",IF(AND(F107&lt;=2,G107&lt;=2,H107&lt;=2,I107&lt;=2),"Emerging","Progressing")))</f>
        <v/>
      </c>
      <c r="K107" s="6" t="str">
        <f aca="false">IF(F107="","",IF(J107="Proficient","Yes","No"))</f>
        <v/>
      </c>
      <c r="L107" s="6" t="str">
        <f aca="false">IF(F107="","",INDEX({"Listening","Speaking","Reading","Writing"},MATCH(MIN(F107:I107),F107:I107,0)))</f>
        <v/>
      </c>
      <c r="M107" s="17"/>
      <c r="N107" s="6" t="str">
        <f aca="false">IF(OR(F107="",M107=""),"",ROUND(AVERAGE(F107:I107)-M107,1))</f>
        <v/>
      </c>
      <c r="O107" s="17"/>
      <c r="P107" s="17"/>
      <c r="Q107" s="17"/>
    </row>
    <row r="108" customFormat="false" ht="15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6" t="str">
        <f aca="false">IF(F108="","",IF(AND(F108&gt;=4,G108&gt;=4,H108&gt;=4,I108&gt;=4),"Proficient",IF(AND(F108&lt;=2,G108&lt;=2,H108&lt;=2,I108&lt;=2),"Emerging","Progressing")))</f>
        <v/>
      </c>
      <c r="K108" s="6" t="str">
        <f aca="false">IF(F108="","",IF(J108="Proficient","Yes","No"))</f>
        <v/>
      </c>
      <c r="L108" s="6" t="str">
        <f aca="false">IF(F108="","",INDEX({"Listening","Speaking","Reading","Writing"},MATCH(MIN(F108:I108),F108:I108,0)))</f>
        <v/>
      </c>
      <c r="M108" s="17"/>
      <c r="N108" s="6" t="str">
        <f aca="false">IF(OR(F108="",M108=""),"",ROUND(AVERAGE(F108:I108)-M108,1))</f>
        <v/>
      </c>
      <c r="O108" s="17"/>
      <c r="P108" s="17"/>
      <c r="Q108" s="17"/>
    </row>
    <row r="109" customFormat="false" ht="15" hidden="false" customHeight="tru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6" t="str">
        <f aca="false">IF(F109="","",IF(AND(F109&gt;=4,G109&gt;=4,H109&gt;=4,I109&gt;=4),"Proficient",IF(AND(F109&lt;=2,G109&lt;=2,H109&lt;=2,I109&lt;=2),"Emerging","Progressing")))</f>
        <v/>
      </c>
      <c r="K109" s="6" t="str">
        <f aca="false">IF(F109="","",IF(J109="Proficient","Yes","No"))</f>
        <v/>
      </c>
      <c r="L109" s="6" t="str">
        <f aca="false">IF(F109="","",INDEX({"Listening","Speaking","Reading","Writing"},MATCH(MIN(F109:I109),F109:I109,0)))</f>
        <v/>
      </c>
      <c r="M109" s="17"/>
      <c r="N109" s="6" t="str">
        <f aca="false">IF(OR(F109="",M109=""),"",ROUND(AVERAGE(F109:I109)-M109,1))</f>
        <v/>
      </c>
      <c r="O109" s="17"/>
      <c r="P109" s="17"/>
      <c r="Q109" s="17"/>
    </row>
    <row r="110" customFormat="false" ht="15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6" t="str">
        <f aca="false">IF(F110="","",IF(AND(F110&gt;=4,G110&gt;=4,H110&gt;=4,I110&gt;=4),"Proficient",IF(AND(F110&lt;=2,G110&lt;=2,H110&lt;=2,I110&lt;=2),"Emerging","Progressing")))</f>
        <v/>
      </c>
      <c r="K110" s="6" t="str">
        <f aca="false">IF(F110="","",IF(J110="Proficient","Yes","No"))</f>
        <v/>
      </c>
      <c r="L110" s="6" t="str">
        <f aca="false">IF(F110="","",INDEX({"Listening","Speaking","Reading","Writing"},MATCH(MIN(F110:I110),F110:I110,0)))</f>
        <v/>
      </c>
      <c r="M110" s="17"/>
      <c r="N110" s="6" t="str">
        <f aca="false">IF(OR(F110="",M110=""),"",ROUND(AVERAGE(F110:I110)-M110,1))</f>
        <v/>
      </c>
      <c r="O110" s="17"/>
      <c r="P110" s="17"/>
      <c r="Q110" s="17"/>
    </row>
    <row r="111" customFormat="false" ht="15" hidden="false" customHeight="tru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6" t="str">
        <f aca="false">IF(F111="","",IF(AND(F111&gt;=4,G111&gt;=4,H111&gt;=4,I111&gt;=4),"Proficient",IF(AND(F111&lt;=2,G111&lt;=2,H111&lt;=2,I111&lt;=2),"Emerging","Progressing")))</f>
        <v/>
      </c>
      <c r="K111" s="6" t="str">
        <f aca="false">IF(F111="","",IF(J111="Proficient","Yes","No"))</f>
        <v/>
      </c>
      <c r="L111" s="6" t="str">
        <f aca="false">IF(F111="","",INDEX({"Listening","Speaking","Reading","Writing"},MATCH(MIN(F111:I111),F111:I111,0)))</f>
        <v/>
      </c>
      <c r="M111" s="17"/>
      <c r="N111" s="6" t="str">
        <f aca="false">IF(OR(F111="",M111=""),"",ROUND(AVERAGE(F111:I111)-M111,1))</f>
        <v/>
      </c>
      <c r="O111" s="17"/>
      <c r="P111" s="17"/>
      <c r="Q111" s="17"/>
    </row>
    <row r="112" customFormat="false" ht="15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6" t="str">
        <f aca="false">IF(F112="","",IF(AND(F112&gt;=4,G112&gt;=4,H112&gt;=4,I112&gt;=4),"Proficient",IF(AND(F112&lt;=2,G112&lt;=2,H112&lt;=2,I112&lt;=2),"Emerging","Progressing")))</f>
        <v/>
      </c>
      <c r="K112" s="6" t="str">
        <f aca="false">IF(F112="","",IF(J112="Proficient","Yes","No"))</f>
        <v/>
      </c>
      <c r="L112" s="6" t="str">
        <f aca="false">IF(F112="","",INDEX({"Listening","Speaking","Reading","Writing"},MATCH(MIN(F112:I112),F112:I112,0)))</f>
        <v/>
      </c>
      <c r="M112" s="17"/>
      <c r="N112" s="6" t="str">
        <f aca="false">IF(OR(F112="",M112=""),"",ROUND(AVERAGE(F112:I112)-M112,1))</f>
        <v/>
      </c>
      <c r="O112" s="17"/>
      <c r="P112" s="17"/>
      <c r="Q112" s="17"/>
    </row>
    <row r="113" customFormat="false" ht="15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6" t="str">
        <f aca="false">IF(F113="","",IF(AND(F113&gt;=4,G113&gt;=4,H113&gt;=4,I113&gt;=4),"Proficient",IF(AND(F113&lt;=2,G113&lt;=2,H113&lt;=2,I113&lt;=2),"Emerging","Progressing")))</f>
        <v/>
      </c>
      <c r="K113" s="6" t="str">
        <f aca="false">IF(F113="","",IF(J113="Proficient","Yes","No"))</f>
        <v/>
      </c>
      <c r="L113" s="6" t="str">
        <f aca="false">IF(F113="","",INDEX({"Listening","Speaking","Reading","Writing"},MATCH(MIN(F113:I113),F113:I113,0)))</f>
        <v/>
      </c>
      <c r="M113" s="17"/>
      <c r="N113" s="6" t="str">
        <f aca="false">IF(OR(F113="",M113=""),"",ROUND(AVERAGE(F113:I113)-M113,1))</f>
        <v/>
      </c>
      <c r="O113" s="17"/>
      <c r="P113" s="17"/>
      <c r="Q113" s="17"/>
    </row>
    <row r="114" customFormat="false" ht="15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6" t="str">
        <f aca="false">IF(F114="","",IF(AND(F114&gt;=4,G114&gt;=4,H114&gt;=4,I114&gt;=4),"Proficient",IF(AND(F114&lt;=2,G114&lt;=2,H114&lt;=2,I114&lt;=2),"Emerging","Progressing")))</f>
        <v/>
      </c>
      <c r="K114" s="6" t="str">
        <f aca="false">IF(F114="","",IF(J114="Proficient","Yes","No"))</f>
        <v/>
      </c>
      <c r="L114" s="6" t="str">
        <f aca="false">IF(F114="","",INDEX({"Listening","Speaking","Reading","Writing"},MATCH(MIN(F114:I114),F114:I114,0)))</f>
        <v/>
      </c>
      <c r="M114" s="17"/>
      <c r="N114" s="6" t="str">
        <f aca="false">IF(OR(F114="",M114=""),"",ROUND(AVERAGE(F114:I114)-M114,1))</f>
        <v/>
      </c>
      <c r="O114" s="17"/>
      <c r="P114" s="17"/>
      <c r="Q114" s="17"/>
    </row>
    <row r="115" customFormat="false" ht="15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6" t="str">
        <f aca="false">IF(F115="","",IF(AND(F115&gt;=4,G115&gt;=4,H115&gt;=4,I115&gt;=4),"Proficient",IF(AND(F115&lt;=2,G115&lt;=2,H115&lt;=2,I115&lt;=2),"Emerging","Progressing")))</f>
        <v/>
      </c>
      <c r="K115" s="6" t="str">
        <f aca="false">IF(F115="","",IF(J115="Proficient","Yes","No"))</f>
        <v/>
      </c>
      <c r="L115" s="6" t="str">
        <f aca="false">IF(F115="","",INDEX({"Listening","Speaking","Reading","Writing"},MATCH(MIN(F115:I115),F115:I115,0)))</f>
        <v/>
      </c>
      <c r="M115" s="17"/>
      <c r="N115" s="6" t="str">
        <f aca="false">IF(OR(F115="",M115=""),"",ROUND(AVERAGE(F115:I115)-M115,1))</f>
        <v/>
      </c>
      <c r="O115" s="17"/>
      <c r="P115" s="17"/>
      <c r="Q115" s="17"/>
    </row>
    <row r="116" customFormat="false" ht="15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6" t="str">
        <f aca="false">IF(F116="","",IF(AND(F116&gt;=4,G116&gt;=4,H116&gt;=4,I116&gt;=4),"Proficient",IF(AND(F116&lt;=2,G116&lt;=2,H116&lt;=2,I116&lt;=2),"Emerging","Progressing")))</f>
        <v/>
      </c>
      <c r="K116" s="6" t="str">
        <f aca="false">IF(F116="","",IF(J116="Proficient","Yes","No"))</f>
        <v/>
      </c>
      <c r="L116" s="6" t="str">
        <f aca="false">IF(F116="","",INDEX({"Listening","Speaking","Reading","Writing"},MATCH(MIN(F116:I116),F116:I116,0)))</f>
        <v/>
      </c>
      <c r="M116" s="17"/>
      <c r="N116" s="6" t="str">
        <f aca="false">IF(OR(F116="",M116=""),"",ROUND(AVERAGE(F116:I116)-M116,1))</f>
        <v/>
      </c>
      <c r="O116" s="17"/>
      <c r="P116" s="17"/>
      <c r="Q116" s="17"/>
    </row>
    <row r="117" customFormat="false" ht="15" hidden="false" customHeight="tru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6" t="str">
        <f aca="false">IF(F117="","",IF(AND(F117&gt;=4,G117&gt;=4,H117&gt;=4,I117&gt;=4),"Proficient",IF(AND(F117&lt;=2,G117&lt;=2,H117&lt;=2,I117&lt;=2),"Emerging","Progressing")))</f>
        <v/>
      </c>
      <c r="K117" s="6" t="str">
        <f aca="false">IF(F117="","",IF(J117="Proficient","Yes","No"))</f>
        <v/>
      </c>
      <c r="L117" s="6" t="str">
        <f aca="false">IF(F117="","",INDEX({"Listening","Speaking","Reading","Writing"},MATCH(MIN(F117:I117),F117:I117,0)))</f>
        <v/>
      </c>
      <c r="M117" s="17"/>
      <c r="N117" s="6" t="str">
        <f aca="false">IF(OR(F117="",M117=""),"",ROUND(AVERAGE(F117:I117)-M117,1))</f>
        <v/>
      </c>
      <c r="O117" s="17"/>
      <c r="P117" s="17"/>
      <c r="Q117" s="17"/>
    </row>
    <row r="118" customFormat="false" ht="15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6" t="str">
        <f aca="false">IF(F118="","",IF(AND(F118&gt;=4,G118&gt;=4,H118&gt;=4,I118&gt;=4),"Proficient",IF(AND(F118&lt;=2,G118&lt;=2,H118&lt;=2,I118&lt;=2),"Emerging","Progressing")))</f>
        <v/>
      </c>
      <c r="K118" s="6" t="str">
        <f aca="false">IF(F118="","",IF(J118="Proficient","Yes","No"))</f>
        <v/>
      </c>
      <c r="L118" s="6" t="str">
        <f aca="false">IF(F118="","",INDEX({"Listening","Speaking","Reading","Writing"},MATCH(MIN(F118:I118),F118:I118,0)))</f>
        <v/>
      </c>
      <c r="M118" s="17"/>
      <c r="N118" s="6" t="str">
        <f aca="false">IF(OR(F118="",M118=""),"",ROUND(AVERAGE(F118:I118)-M118,1))</f>
        <v/>
      </c>
      <c r="O118" s="17"/>
      <c r="P118" s="17"/>
      <c r="Q118" s="17"/>
    </row>
    <row r="119" customFormat="false" ht="15" hidden="false" customHeight="tru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6" t="str">
        <f aca="false">IF(F119="","",IF(AND(F119&gt;=4,G119&gt;=4,H119&gt;=4,I119&gt;=4),"Proficient",IF(AND(F119&lt;=2,G119&lt;=2,H119&lt;=2,I119&lt;=2),"Emerging","Progressing")))</f>
        <v/>
      </c>
      <c r="K119" s="6" t="str">
        <f aca="false">IF(F119="","",IF(J119="Proficient","Yes","No"))</f>
        <v/>
      </c>
      <c r="L119" s="6" t="str">
        <f aca="false">IF(F119="","",INDEX({"Listening","Speaking","Reading","Writing"},MATCH(MIN(F119:I119),F119:I119,0)))</f>
        <v/>
      </c>
      <c r="M119" s="17"/>
      <c r="N119" s="6" t="str">
        <f aca="false">IF(OR(F119="",M119=""),"",ROUND(AVERAGE(F119:I119)-M119,1))</f>
        <v/>
      </c>
      <c r="O119" s="17"/>
      <c r="P119" s="17"/>
      <c r="Q119" s="17"/>
    </row>
    <row r="120" customFormat="false" ht="15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6" t="str">
        <f aca="false">IF(F120="","",IF(AND(F120&gt;=4,G120&gt;=4,H120&gt;=4,I120&gt;=4),"Proficient",IF(AND(F120&lt;=2,G120&lt;=2,H120&lt;=2,I120&lt;=2),"Emerging","Progressing")))</f>
        <v/>
      </c>
      <c r="K120" s="6" t="str">
        <f aca="false">IF(F120="","",IF(J120="Proficient","Yes","No"))</f>
        <v/>
      </c>
      <c r="L120" s="6" t="str">
        <f aca="false">IF(F120="","",INDEX({"Listening","Speaking","Reading","Writing"},MATCH(MIN(F120:I120),F120:I120,0)))</f>
        <v/>
      </c>
      <c r="M120" s="17"/>
      <c r="N120" s="6" t="str">
        <f aca="false">IF(OR(F120="",M120=""),"",ROUND(AVERAGE(F120:I120)-M120,1))</f>
        <v/>
      </c>
      <c r="O120" s="17"/>
      <c r="P120" s="17"/>
      <c r="Q120" s="17"/>
    </row>
    <row r="121" customFormat="false" ht="15" hidden="false" customHeight="tru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6" t="str">
        <f aca="false">IF(F121="","",IF(AND(F121&gt;=4,G121&gt;=4,H121&gt;=4,I121&gt;=4),"Proficient",IF(AND(F121&lt;=2,G121&lt;=2,H121&lt;=2,I121&lt;=2),"Emerging","Progressing")))</f>
        <v/>
      </c>
      <c r="K121" s="6" t="str">
        <f aca="false">IF(F121="","",IF(J121="Proficient","Yes","No"))</f>
        <v/>
      </c>
      <c r="L121" s="6" t="str">
        <f aca="false">IF(F121="","",INDEX({"Listening","Speaking","Reading","Writing"},MATCH(MIN(F121:I121),F121:I121,0)))</f>
        <v/>
      </c>
      <c r="M121" s="17"/>
      <c r="N121" s="6" t="str">
        <f aca="false">IF(OR(F121="",M121=""),"",ROUND(AVERAGE(F121:I121)-M121,1))</f>
        <v/>
      </c>
      <c r="O121" s="17"/>
      <c r="P121" s="17"/>
      <c r="Q121" s="17"/>
    </row>
    <row r="122" customFormat="false" ht="15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6" t="str">
        <f aca="false">IF(F122="","",IF(AND(F122&gt;=4,G122&gt;=4,H122&gt;=4,I122&gt;=4),"Proficient",IF(AND(F122&lt;=2,G122&lt;=2,H122&lt;=2,I122&lt;=2),"Emerging","Progressing")))</f>
        <v/>
      </c>
      <c r="K122" s="6" t="str">
        <f aca="false">IF(F122="","",IF(J122="Proficient","Yes","No"))</f>
        <v/>
      </c>
      <c r="L122" s="6" t="str">
        <f aca="false">IF(F122="","",INDEX({"Listening","Speaking","Reading","Writing"},MATCH(MIN(F122:I122),F122:I122,0)))</f>
        <v/>
      </c>
      <c r="M122" s="17"/>
      <c r="N122" s="6" t="str">
        <f aca="false">IF(OR(F122="",M122=""),"",ROUND(AVERAGE(F122:I122)-M122,1))</f>
        <v/>
      </c>
      <c r="O122" s="17"/>
      <c r="P122" s="17"/>
      <c r="Q122" s="17"/>
    </row>
    <row r="123" customFormat="false" ht="15" hidden="false" customHeight="tru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6" t="str">
        <f aca="false">IF(F123="","",IF(AND(F123&gt;=4,G123&gt;=4,H123&gt;=4,I123&gt;=4),"Proficient",IF(AND(F123&lt;=2,G123&lt;=2,H123&lt;=2,I123&lt;=2),"Emerging","Progressing")))</f>
        <v/>
      </c>
      <c r="K123" s="6" t="str">
        <f aca="false">IF(F123="","",IF(J123="Proficient","Yes","No"))</f>
        <v/>
      </c>
      <c r="L123" s="6" t="str">
        <f aca="false">IF(F123="","",INDEX({"Listening","Speaking","Reading","Writing"},MATCH(MIN(F123:I123),F123:I123,0)))</f>
        <v/>
      </c>
      <c r="M123" s="17"/>
      <c r="N123" s="6" t="str">
        <f aca="false">IF(OR(F123="",M123=""),"",ROUND(AVERAGE(F123:I123)-M123,1))</f>
        <v/>
      </c>
      <c r="O123" s="17"/>
      <c r="P123" s="17"/>
      <c r="Q123" s="17"/>
    </row>
    <row r="124" customFormat="false" ht="15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6" t="str">
        <f aca="false">IF(F124="","",IF(AND(F124&gt;=4,G124&gt;=4,H124&gt;=4,I124&gt;=4),"Proficient",IF(AND(F124&lt;=2,G124&lt;=2,H124&lt;=2,I124&lt;=2),"Emerging","Progressing")))</f>
        <v/>
      </c>
      <c r="K124" s="6" t="str">
        <f aca="false">IF(F124="","",IF(J124="Proficient","Yes","No"))</f>
        <v/>
      </c>
      <c r="L124" s="6" t="str">
        <f aca="false">IF(F124="","",INDEX({"Listening","Speaking","Reading","Writing"},MATCH(MIN(F124:I124),F124:I124,0)))</f>
        <v/>
      </c>
      <c r="M124" s="17"/>
      <c r="N124" s="6" t="str">
        <f aca="false">IF(OR(F124="",M124=""),"",ROUND(AVERAGE(F124:I124)-M124,1))</f>
        <v/>
      </c>
      <c r="O124" s="17"/>
      <c r="P124" s="17"/>
      <c r="Q124" s="17"/>
    </row>
    <row r="125" customFormat="false" ht="15" hidden="false" customHeight="tru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6" t="str">
        <f aca="false">IF(F125="","",IF(AND(F125&gt;=4,G125&gt;=4,H125&gt;=4,I125&gt;=4),"Proficient",IF(AND(F125&lt;=2,G125&lt;=2,H125&lt;=2,I125&lt;=2),"Emerging","Progressing")))</f>
        <v/>
      </c>
      <c r="K125" s="6" t="str">
        <f aca="false">IF(F125="","",IF(J125="Proficient","Yes","No"))</f>
        <v/>
      </c>
      <c r="L125" s="6" t="str">
        <f aca="false">IF(F125="","",INDEX({"Listening","Speaking","Reading","Writing"},MATCH(MIN(F125:I125),F125:I125,0)))</f>
        <v/>
      </c>
      <c r="M125" s="17"/>
      <c r="N125" s="6" t="str">
        <f aca="false">IF(OR(F125="",M125=""),"",ROUND(AVERAGE(F125:I125)-M125,1))</f>
        <v/>
      </c>
      <c r="O125" s="17"/>
      <c r="P125" s="17"/>
      <c r="Q125" s="17"/>
    </row>
    <row r="126" customFormat="false" ht="15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6" t="str">
        <f aca="false">IF(F126="","",IF(AND(F126&gt;=4,G126&gt;=4,H126&gt;=4,I126&gt;=4),"Proficient",IF(AND(F126&lt;=2,G126&lt;=2,H126&lt;=2,I126&lt;=2),"Emerging","Progressing")))</f>
        <v/>
      </c>
      <c r="K126" s="6" t="str">
        <f aca="false">IF(F126="","",IF(J126="Proficient","Yes","No"))</f>
        <v/>
      </c>
      <c r="L126" s="6" t="str">
        <f aca="false">IF(F126="","",INDEX({"Listening","Speaking","Reading","Writing"},MATCH(MIN(F126:I126),F126:I126,0)))</f>
        <v/>
      </c>
      <c r="M126" s="17"/>
      <c r="N126" s="6" t="str">
        <f aca="false">IF(OR(F126="",M126=""),"",ROUND(AVERAGE(F126:I126)-M126,1))</f>
        <v/>
      </c>
      <c r="O126" s="17"/>
      <c r="P126" s="17"/>
      <c r="Q126" s="17"/>
    </row>
    <row r="127" customFormat="false" ht="15" hidden="false" customHeight="tru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6" t="str">
        <f aca="false">IF(F127="","",IF(AND(F127&gt;=4,G127&gt;=4,H127&gt;=4,I127&gt;=4),"Proficient",IF(AND(F127&lt;=2,G127&lt;=2,H127&lt;=2,I127&lt;=2),"Emerging","Progressing")))</f>
        <v/>
      </c>
      <c r="K127" s="6" t="str">
        <f aca="false">IF(F127="","",IF(J127="Proficient","Yes","No"))</f>
        <v/>
      </c>
      <c r="L127" s="6" t="str">
        <f aca="false">IF(F127="","",INDEX({"Listening","Speaking","Reading","Writing"},MATCH(MIN(F127:I127),F127:I127,0)))</f>
        <v/>
      </c>
      <c r="M127" s="17"/>
      <c r="N127" s="6" t="str">
        <f aca="false">IF(OR(F127="",M127=""),"",ROUND(AVERAGE(F127:I127)-M127,1))</f>
        <v/>
      </c>
      <c r="O127" s="17"/>
      <c r="P127" s="17"/>
      <c r="Q127" s="17"/>
    </row>
    <row r="128" customFormat="false" ht="15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6" t="str">
        <f aca="false">IF(F128="","",IF(AND(F128&gt;=4,G128&gt;=4,H128&gt;=4,I128&gt;=4),"Proficient",IF(AND(F128&lt;=2,G128&lt;=2,H128&lt;=2,I128&lt;=2),"Emerging","Progressing")))</f>
        <v/>
      </c>
      <c r="K128" s="6" t="str">
        <f aca="false">IF(F128="","",IF(J128="Proficient","Yes","No"))</f>
        <v/>
      </c>
      <c r="L128" s="6" t="str">
        <f aca="false">IF(F128="","",INDEX({"Listening","Speaking","Reading","Writing"},MATCH(MIN(F128:I128),F128:I128,0)))</f>
        <v/>
      </c>
      <c r="M128" s="17"/>
      <c r="N128" s="6" t="str">
        <f aca="false">IF(OR(F128="",M128=""),"",ROUND(AVERAGE(F128:I128)-M128,1))</f>
        <v/>
      </c>
      <c r="O128" s="17"/>
      <c r="P128" s="17"/>
      <c r="Q128" s="17"/>
    </row>
    <row r="129" customFormat="false" ht="15" hidden="false" customHeight="tru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6" t="str">
        <f aca="false">IF(F129="","",IF(AND(F129&gt;=4,G129&gt;=4,H129&gt;=4,I129&gt;=4),"Proficient",IF(AND(F129&lt;=2,G129&lt;=2,H129&lt;=2,I129&lt;=2),"Emerging","Progressing")))</f>
        <v/>
      </c>
      <c r="K129" s="6" t="str">
        <f aca="false">IF(F129="","",IF(J129="Proficient","Yes","No"))</f>
        <v/>
      </c>
      <c r="L129" s="6" t="str">
        <f aca="false">IF(F129="","",INDEX({"Listening","Speaking","Reading","Writing"},MATCH(MIN(F129:I129),F129:I129,0)))</f>
        <v/>
      </c>
      <c r="M129" s="17"/>
      <c r="N129" s="6" t="str">
        <f aca="false">IF(OR(F129="",M129=""),"",ROUND(AVERAGE(F129:I129)-M129,1))</f>
        <v/>
      </c>
      <c r="O129" s="17"/>
      <c r="P129" s="17"/>
      <c r="Q129" s="17"/>
    </row>
    <row r="130" customFormat="false" ht="15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6" t="str">
        <f aca="false">IF(F130="","",IF(AND(F130&gt;=4,G130&gt;=4,H130&gt;=4,I130&gt;=4),"Proficient",IF(AND(F130&lt;=2,G130&lt;=2,H130&lt;=2,I130&lt;=2),"Emerging","Progressing")))</f>
        <v/>
      </c>
      <c r="K130" s="6" t="str">
        <f aca="false">IF(F130="","",IF(J130="Proficient","Yes","No"))</f>
        <v/>
      </c>
      <c r="L130" s="6" t="str">
        <f aca="false">IF(F130="","",INDEX({"Listening","Speaking","Reading","Writing"},MATCH(MIN(F130:I130),F130:I130,0)))</f>
        <v/>
      </c>
      <c r="M130" s="17"/>
      <c r="N130" s="6" t="str">
        <f aca="false">IF(OR(F130="",M130=""),"",ROUND(AVERAGE(F130:I130)-M130,1))</f>
        <v/>
      </c>
      <c r="O130" s="17"/>
      <c r="P130" s="17"/>
      <c r="Q130" s="17"/>
    </row>
    <row r="131" customFormat="false" ht="15" hidden="false" customHeight="tru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6" t="str">
        <f aca="false">IF(F131="","",IF(AND(F131&gt;=4,G131&gt;=4,H131&gt;=4,I131&gt;=4),"Proficient",IF(AND(F131&lt;=2,G131&lt;=2,H131&lt;=2,I131&lt;=2),"Emerging","Progressing")))</f>
        <v/>
      </c>
      <c r="K131" s="6" t="str">
        <f aca="false">IF(F131="","",IF(J131="Proficient","Yes","No"))</f>
        <v/>
      </c>
      <c r="L131" s="6" t="str">
        <f aca="false">IF(F131="","",INDEX({"Listening","Speaking","Reading","Writing"},MATCH(MIN(F131:I131),F131:I131,0)))</f>
        <v/>
      </c>
      <c r="M131" s="17"/>
      <c r="N131" s="6" t="str">
        <f aca="false">IF(OR(F131="",M131=""),"",ROUND(AVERAGE(F131:I131)-M131,1))</f>
        <v/>
      </c>
      <c r="O131" s="17"/>
      <c r="P131" s="17"/>
      <c r="Q131" s="17"/>
    </row>
    <row r="132" customFormat="false" ht="15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6" t="str">
        <f aca="false">IF(F132="","",IF(AND(F132&gt;=4,G132&gt;=4,H132&gt;=4,I132&gt;=4),"Proficient",IF(AND(F132&lt;=2,G132&lt;=2,H132&lt;=2,I132&lt;=2),"Emerging","Progressing")))</f>
        <v/>
      </c>
      <c r="K132" s="6" t="str">
        <f aca="false">IF(F132="","",IF(J132="Proficient","Yes","No"))</f>
        <v/>
      </c>
      <c r="L132" s="6" t="str">
        <f aca="false">IF(F132="","",INDEX({"Listening","Speaking","Reading","Writing"},MATCH(MIN(F132:I132),F132:I132,0)))</f>
        <v/>
      </c>
      <c r="M132" s="17"/>
      <c r="N132" s="6" t="str">
        <f aca="false">IF(OR(F132="",M132=""),"",ROUND(AVERAGE(F132:I132)-M132,1))</f>
        <v/>
      </c>
      <c r="O132" s="17"/>
      <c r="P132" s="17"/>
      <c r="Q132" s="17"/>
    </row>
    <row r="133" customFormat="false" ht="15" hidden="false" customHeight="tru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6" t="str">
        <f aca="false">IF(F133="","",IF(AND(F133&gt;=4,G133&gt;=4,H133&gt;=4,I133&gt;=4),"Proficient",IF(AND(F133&lt;=2,G133&lt;=2,H133&lt;=2,I133&lt;=2),"Emerging","Progressing")))</f>
        <v/>
      </c>
      <c r="K133" s="6" t="str">
        <f aca="false">IF(F133="","",IF(J133="Proficient","Yes","No"))</f>
        <v/>
      </c>
      <c r="L133" s="6" t="str">
        <f aca="false">IF(F133="","",INDEX({"Listening","Speaking","Reading","Writing"},MATCH(MIN(F133:I133),F133:I133,0)))</f>
        <v/>
      </c>
      <c r="M133" s="17"/>
      <c r="N133" s="6" t="str">
        <f aca="false">IF(OR(F133="",M133=""),"",ROUND(AVERAGE(F133:I133)-M133,1))</f>
        <v/>
      </c>
      <c r="O133" s="17"/>
      <c r="P133" s="17"/>
      <c r="Q133" s="17"/>
    </row>
    <row r="134" customFormat="false" ht="15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6" t="str">
        <f aca="false">IF(F134="","",IF(AND(F134&gt;=4,G134&gt;=4,H134&gt;=4,I134&gt;=4),"Proficient",IF(AND(F134&lt;=2,G134&lt;=2,H134&lt;=2,I134&lt;=2),"Emerging","Progressing")))</f>
        <v/>
      </c>
      <c r="K134" s="6" t="str">
        <f aca="false">IF(F134="","",IF(J134="Proficient","Yes","No"))</f>
        <v/>
      </c>
      <c r="L134" s="6" t="str">
        <f aca="false">IF(F134="","",INDEX({"Listening","Speaking","Reading","Writing"},MATCH(MIN(F134:I134),F134:I134,0)))</f>
        <v/>
      </c>
      <c r="M134" s="17"/>
      <c r="N134" s="6" t="str">
        <f aca="false">IF(OR(F134="",M134=""),"",ROUND(AVERAGE(F134:I134)-M134,1))</f>
        <v/>
      </c>
      <c r="O134" s="17"/>
      <c r="P134" s="17"/>
      <c r="Q134" s="17"/>
    </row>
    <row r="135" customFormat="false" ht="15" hidden="false" customHeight="tru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6" t="str">
        <f aca="false">IF(F135="","",IF(AND(F135&gt;=4,G135&gt;=4,H135&gt;=4,I135&gt;=4),"Proficient",IF(AND(F135&lt;=2,G135&lt;=2,H135&lt;=2,I135&lt;=2),"Emerging","Progressing")))</f>
        <v/>
      </c>
      <c r="K135" s="6" t="str">
        <f aca="false">IF(F135="","",IF(J135="Proficient","Yes","No"))</f>
        <v/>
      </c>
      <c r="L135" s="6" t="str">
        <f aca="false">IF(F135="","",INDEX({"Listening","Speaking","Reading","Writing"},MATCH(MIN(F135:I135),F135:I135,0)))</f>
        <v/>
      </c>
      <c r="M135" s="17"/>
      <c r="N135" s="6" t="str">
        <f aca="false">IF(OR(F135="",M135=""),"",ROUND(AVERAGE(F135:I135)-M135,1))</f>
        <v/>
      </c>
      <c r="O135" s="17"/>
      <c r="P135" s="17"/>
      <c r="Q135" s="17"/>
    </row>
    <row r="136" customFormat="false" ht="15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6" t="str">
        <f aca="false">IF(F136="","",IF(AND(F136&gt;=4,G136&gt;=4,H136&gt;=4,I136&gt;=4),"Proficient",IF(AND(F136&lt;=2,G136&lt;=2,H136&lt;=2,I136&lt;=2),"Emerging","Progressing")))</f>
        <v/>
      </c>
      <c r="K136" s="6" t="str">
        <f aca="false">IF(F136="","",IF(J136="Proficient","Yes","No"))</f>
        <v/>
      </c>
      <c r="L136" s="6" t="str">
        <f aca="false">IF(F136="","",INDEX({"Listening","Speaking","Reading","Writing"},MATCH(MIN(F136:I136),F136:I136,0)))</f>
        <v/>
      </c>
      <c r="M136" s="17"/>
      <c r="N136" s="6" t="str">
        <f aca="false">IF(OR(F136="",M136=""),"",ROUND(AVERAGE(F136:I136)-M136,1))</f>
        <v/>
      </c>
      <c r="O136" s="17"/>
      <c r="P136" s="17"/>
      <c r="Q136" s="17"/>
    </row>
    <row r="137" customFormat="false" ht="15" hidden="false" customHeight="tru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6" t="str">
        <f aca="false">IF(F137="","",IF(AND(F137&gt;=4,G137&gt;=4,H137&gt;=4,I137&gt;=4),"Proficient",IF(AND(F137&lt;=2,G137&lt;=2,H137&lt;=2,I137&lt;=2),"Emerging","Progressing")))</f>
        <v/>
      </c>
      <c r="K137" s="6" t="str">
        <f aca="false">IF(F137="","",IF(J137="Proficient","Yes","No"))</f>
        <v/>
      </c>
      <c r="L137" s="6" t="str">
        <f aca="false">IF(F137="","",INDEX({"Listening","Speaking","Reading","Writing"},MATCH(MIN(F137:I137),F137:I137,0)))</f>
        <v/>
      </c>
      <c r="M137" s="17"/>
      <c r="N137" s="6" t="str">
        <f aca="false">IF(OR(F137="",M137=""),"",ROUND(AVERAGE(F137:I137)-M137,1))</f>
        <v/>
      </c>
      <c r="O137" s="17"/>
      <c r="P137" s="17"/>
      <c r="Q137" s="17"/>
    </row>
    <row r="138" customFormat="false" ht="15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6" t="str">
        <f aca="false">IF(F138="","",IF(AND(F138&gt;=4,G138&gt;=4,H138&gt;=4,I138&gt;=4),"Proficient",IF(AND(F138&lt;=2,G138&lt;=2,H138&lt;=2,I138&lt;=2),"Emerging","Progressing")))</f>
        <v/>
      </c>
      <c r="K138" s="6" t="str">
        <f aca="false">IF(F138="","",IF(J138="Proficient","Yes","No"))</f>
        <v/>
      </c>
      <c r="L138" s="6" t="str">
        <f aca="false">IF(F138="","",INDEX({"Listening","Speaking","Reading","Writing"},MATCH(MIN(F138:I138),F138:I138,0)))</f>
        <v/>
      </c>
      <c r="M138" s="17"/>
      <c r="N138" s="6" t="str">
        <f aca="false">IF(OR(F138="",M138=""),"",ROUND(AVERAGE(F138:I138)-M138,1))</f>
        <v/>
      </c>
      <c r="O138" s="17"/>
      <c r="P138" s="17"/>
      <c r="Q138" s="17"/>
    </row>
    <row r="139" customFormat="false" ht="15" hidden="false" customHeight="tru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6" t="str">
        <f aca="false">IF(F139="","",IF(AND(F139&gt;=4,G139&gt;=4,H139&gt;=4,I139&gt;=4),"Proficient",IF(AND(F139&lt;=2,G139&lt;=2,H139&lt;=2,I139&lt;=2),"Emerging","Progressing")))</f>
        <v/>
      </c>
      <c r="K139" s="6" t="str">
        <f aca="false">IF(F139="","",IF(J139="Proficient","Yes","No"))</f>
        <v/>
      </c>
      <c r="L139" s="6" t="str">
        <f aca="false">IF(F139="","",INDEX({"Listening","Speaking","Reading","Writing"},MATCH(MIN(F139:I139),F139:I139,0)))</f>
        <v/>
      </c>
      <c r="M139" s="17"/>
      <c r="N139" s="6" t="str">
        <f aca="false">IF(OR(F139="",M139=""),"",ROUND(AVERAGE(F139:I139)-M139,1))</f>
        <v/>
      </c>
      <c r="O139" s="17"/>
      <c r="P139" s="17"/>
      <c r="Q139" s="17"/>
    </row>
    <row r="140" customFormat="false" ht="15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6" t="str">
        <f aca="false">IF(F140="","",IF(AND(F140&gt;=4,G140&gt;=4,H140&gt;=4,I140&gt;=4),"Proficient",IF(AND(F140&lt;=2,G140&lt;=2,H140&lt;=2,I140&lt;=2),"Emerging","Progressing")))</f>
        <v/>
      </c>
      <c r="K140" s="6" t="str">
        <f aca="false">IF(F140="","",IF(J140="Proficient","Yes","No"))</f>
        <v/>
      </c>
      <c r="L140" s="6" t="str">
        <f aca="false">IF(F140="","",INDEX({"Listening","Speaking","Reading","Writing"},MATCH(MIN(F140:I140),F140:I140,0)))</f>
        <v/>
      </c>
      <c r="M140" s="17"/>
      <c r="N140" s="6" t="str">
        <f aca="false">IF(OR(F140="",M140=""),"",ROUND(AVERAGE(F140:I140)-M140,1))</f>
        <v/>
      </c>
      <c r="O140" s="17"/>
      <c r="P140" s="17"/>
      <c r="Q140" s="17"/>
    </row>
    <row r="141" customFormat="false" ht="15" hidden="false" customHeight="tru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6" t="str">
        <f aca="false">IF(F141="","",IF(AND(F141&gt;=4,G141&gt;=4,H141&gt;=4,I141&gt;=4),"Proficient",IF(AND(F141&lt;=2,G141&lt;=2,H141&lt;=2,I141&lt;=2),"Emerging","Progressing")))</f>
        <v/>
      </c>
      <c r="K141" s="6" t="str">
        <f aca="false">IF(F141="","",IF(J141="Proficient","Yes","No"))</f>
        <v/>
      </c>
      <c r="L141" s="6" t="str">
        <f aca="false">IF(F141="","",INDEX({"Listening","Speaking","Reading","Writing"},MATCH(MIN(F141:I141),F141:I141,0)))</f>
        <v/>
      </c>
      <c r="M141" s="17"/>
      <c r="N141" s="6" t="str">
        <f aca="false">IF(OR(F141="",M141=""),"",ROUND(AVERAGE(F141:I141)-M141,1))</f>
        <v/>
      </c>
      <c r="O141" s="17"/>
      <c r="P141" s="17"/>
      <c r="Q141" s="17"/>
    </row>
    <row r="142" customFormat="false" ht="15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6" t="str">
        <f aca="false">IF(F142="","",IF(AND(F142&gt;=4,G142&gt;=4,H142&gt;=4,I142&gt;=4),"Proficient",IF(AND(F142&lt;=2,G142&lt;=2,H142&lt;=2,I142&lt;=2),"Emerging","Progressing")))</f>
        <v/>
      </c>
      <c r="K142" s="6" t="str">
        <f aca="false">IF(F142="","",IF(J142="Proficient","Yes","No"))</f>
        <v/>
      </c>
      <c r="L142" s="6" t="str">
        <f aca="false">IF(F142="","",INDEX({"Listening","Speaking","Reading","Writing"},MATCH(MIN(F142:I142),F142:I142,0)))</f>
        <v/>
      </c>
      <c r="M142" s="17"/>
      <c r="N142" s="6" t="str">
        <f aca="false">IF(OR(F142="",M142=""),"",ROUND(AVERAGE(F142:I142)-M142,1))</f>
        <v/>
      </c>
      <c r="O142" s="17"/>
      <c r="P142" s="17"/>
      <c r="Q142" s="17"/>
    </row>
    <row r="143" customFormat="false" ht="15" hidden="false" customHeight="tru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6" t="str">
        <f aca="false">IF(F143="","",IF(AND(F143&gt;=4,G143&gt;=4,H143&gt;=4,I143&gt;=4),"Proficient",IF(AND(F143&lt;=2,G143&lt;=2,H143&lt;=2,I143&lt;=2),"Emerging","Progressing")))</f>
        <v/>
      </c>
      <c r="K143" s="6" t="str">
        <f aca="false">IF(F143="","",IF(J143="Proficient","Yes","No"))</f>
        <v/>
      </c>
      <c r="L143" s="6" t="str">
        <f aca="false">IF(F143="","",INDEX({"Listening","Speaking","Reading","Writing"},MATCH(MIN(F143:I143),F143:I143,0)))</f>
        <v/>
      </c>
      <c r="M143" s="17"/>
      <c r="N143" s="6" t="str">
        <f aca="false">IF(OR(F143="",M143=""),"",ROUND(AVERAGE(F143:I143)-M143,1))</f>
        <v/>
      </c>
      <c r="O143" s="17"/>
      <c r="P143" s="17"/>
      <c r="Q143" s="17"/>
    </row>
    <row r="144" customFormat="false" ht="15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6" t="str">
        <f aca="false">IF(F144="","",IF(AND(F144&gt;=4,G144&gt;=4,H144&gt;=4,I144&gt;=4),"Proficient",IF(AND(F144&lt;=2,G144&lt;=2,H144&lt;=2,I144&lt;=2),"Emerging","Progressing")))</f>
        <v/>
      </c>
      <c r="K144" s="6" t="str">
        <f aca="false">IF(F144="","",IF(J144="Proficient","Yes","No"))</f>
        <v/>
      </c>
      <c r="L144" s="6" t="str">
        <f aca="false">IF(F144="","",INDEX({"Listening","Speaking","Reading","Writing"},MATCH(MIN(F144:I144),F144:I144,0)))</f>
        <v/>
      </c>
      <c r="M144" s="17"/>
      <c r="N144" s="6" t="str">
        <f aca="false">IF(OR(F144="",M144=""),"",ROUND(AVERAGE(F144:I144)-M144,1))</f>
        <v/>
      </c>
      <c r="O144" s="17"/>
      <c r="P144" s="17"/>
      <c r="Q144" s="17"/>
    </row>
    <row r="145" customFormat="false" ht="15" hidden="false" customHeight="tru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6" t="str">
        <f aca="false">IF(F145="","",IF(AND(F145&gt;=4,G145&gt;=4,H145&gt;=4,I145&gt;=4),"Proficient",IF(AND(F145&lt;=2,G145&lt;=2,H145&lt;=2,I145&lt;=2),"Emerging","Progressing")))</f>
        <v/>
      </c>
      <c r="K145" s="6" t="str">
        <f aca="false">IF(F145="","",IF(J145="Proficient","Yes","No"))</f>
        <v/>
      </c>
      <c r="L145" s="6" t="str">
        <f aca="false">IF(F145="","",INDEX({"Listening","Speaking","Reading","Writing"},MATCH(MIN(F145:I145),F145:I145,0)))</f>
        <v/>
      </c>
      <c r="M145" s="17"/>
      <c r="N145" s="6" t="str">
        <f aca="false">IF(OR(F145="",M145=""),"",ROUND(AVERAGE(F145:I145)-M145,1))</f>
        <v/>
      </c>
      <c r="O145" s="17"/>
      <c r="P145" s="17"/>
      <c r="Q145" s="17"/>
    </row>
    <row r="146" customFormat="false" ht="15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6" t="str">
        <f aca="false">IF(F146="","",IF(AND(F146&gt;=4,G146&gt;=4,H146&gt;=4,I146&gt;=4),"Proficient",IF(AND(F146&lt;=2,G146&lt;=2,H146&lt;=2,I146&lt;=2),"Emerging","Progressing")))</f>
        <v/>
      </c>
      <c r="K146" s="6" t="str">
        <f aca="false">IF(F146="","",IF(J146="Proficient","Yes","No"))</f>
        <v/>
      </c>
      <c r="L146" s="6" t="str">
        <f aca="false">IF(F146="","",INDEX({"Listening","Speaking","Reading","Writing"},MATCH(MIN(F146:I146),F146:I146,0)))</f>
        <v/>
      </c>
      <c r="M146" s="17"/>
      <c r="N146" s="6" t="str">
        <f aca="false">IF(OR(F146="",M146=""),"",ROUND(AVERAGE(F146:I146)-M146,1))</f>
        <v/>
      </c>
      <c r="O146" s="17"/>
      <c r="P146" s="17"/>
      <c r="Q146" s="17"/>
    </row>
    <row r="147" customFormat="false" ht="15" hidden="false" customHeight="tru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6" t="str">
        <f aca="false">IF(F147="","",IF(AND(F147&gt;=4,G147&gt;=4,H147&gt;=4,I147&gt;=4),"Proficient",IF(AND(F147&lt;=2,G147&lt;=2,H147&lt;=2,I147&lt;=2),"Emerging","Progressing")))</f>
        <v/>
      </c>
      <c r="K147" s="6" t="str">
        <f aca="false">IF(F147="","",IF(J147="Proficient","Yes","No"))</f>
        <v/>
      </c>
      <c r="L147" s="6" t="str">
        <f aca="false">IF(F147="","",INDEX({"Listening","Speaking","Reading","Writing"},MATCH(MIN(F147:I147),F147:I147,0)))</f>
        <v/>
      </c>
      <c r="M147" s="17"/>
      <c r="N147" s="6" t="str">
        <f aca="false">IF(OR(F147="",M147=""),"",ROUND(AVERAGE(F147:I147)-M147,1))</f>
        <v/>
      </c>
      <c r="O147" s="17"/>
      <c r="P147" s="17"/>
      <c r="Q147" s="17"/>
    </row>
    <row r="148" customFormat="false" ht="15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6" t="str">
        <f aca="false">IF(F148="","",IF(AND(F148&gt;=4,G148&gt;=4,H148&gt;=4,I148&gt;=4),"Proficient",IF(AND(F148&lt;=2,G148&lt;=2,H148&lt;=2,I148&lt;=2),"Emerging","Progressing")))</f>
        <v/>
      </c>
      <c r="K148" s="6" t="str">
        <f aca="false">IF(F148="","",IF(J148="Proficient","Yes","No"))</f>
        <v/>
      </c>
      <c r="L148" s="6" t="str">
        <f aca="false">IF(F148="","",INDEX({"Listening","Speaking","Reading","Writing"},MATCH(MIN(F148:I148),F148:I148,0)))</f>
        <v/>
      </c>
      <c r="M148" s="17"/>
      <c r="N148" s="6" t="str">
        <f aca="false">IF(OR(F148="",M148=""),"",ROUND(AVERAGE(F148:I148)-M148,1))</f>
        <v/>
      </c>
      <c r="O148" s="17"/>
      <c r="P148" s="17"/>
      <c r="Q148" s="17"/>
    </row>
    <row r="149" customFormat="false" ht="15" hidden="false" customHeight="tru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6" t="str">
        <f aca="false">IF(F149="","",IF(AND(F149&gt;=4,G149&gt;=4,H149&gt;=4,I149&gt;=4),"Proficient",IF(AND(F149&lt;=2,G149&lt;=2,H149&lt;=2,I149&lt;=2),"Emerging","Progressing")))</f>
        <v/>
      </c>
      <c r="K149" s="6" t="str">
        <f aca="false">IF(F149="","",IF(J149="Proficient","Yes","No"))</f>
        <v/>
      </c>
      <c r="L149" s="6" t="str">
        <f aca="false">IF(F149="","",INDEX({"Listening","Speaking","Reading","Writing"},MATCH(MIN(F149:I149),F149:I149,0)))</f>
        <v/>
      </c>
      <c r="M149" s="17"/>
      <c r="N149" s="6" t="str">
        <f aca="false">IF(OR(F149="",M149=""),"",ROUND(AVERAGE(F149:I149)-M149,1))</f>
        <v/>
      </c>
      <c r="O149" s="17"/>
      <c r="P149" s="17"/>
      <c r="Q149" s="17"/>
    </row>
    <row r="150" customFormat="false" ht="15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6" t="str">
        <f aca="false">IF(F150="","",IF(AND(F150&gt;=4,G150&gt;=4,H150&gt;=4,I150&gt;=4),"Proficient",IF(AND(F150&lt;=2,G150&lt;=2,H150&lt;=2,I150&lt;=2),"Emerging","Progressing")))</f>
        <v/>
      </c>
      <c r="K150" s="6" t="str">
        <f aca="false">IF(F150="","",IF(J150="Proficient","Yes","No"))</f>
        <v/>
      </c>
      <c r="L150" s="6" t="str">
        <f aca="false">IF(F150="","",INDEX({"Listening","Speaking","Reading","Writing"},MATCH(MIN(F150:I150),F150:I150,0)))</f>
        <v/>
      </c>
      <c r="M150" s="17"/>
      <c r="N150" s="6" t="str">
        <f aca="false">IF(OR(F150="",M150=""),"",ROUND(AVERAGE(F150:I150)-M150,1))</f>
        <v/>
      </c>
      <c r="O150" s="17"/>
      <c r="P150" s="17"/>
      <c r="Q150" s="17"/>
    </row>
    <row r="151" customFormat="false" ht="15" hidden="false" customHeight="tru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6" t="str">
        <f aca="false">IF(F151="","",IF(AND(F151&gt;=4,G151&gt;=4,H151&gt;=4,I151&gt;=4),"Proficient",IF(AND(F151&lt;=2,G151&lt;=2,H151&lt;=2,I151&lt;=2),"Emerging","Progressing")))</f>
        <v/>
      </c>
      <c r="K151" s="6" t="str">
        <f aca="false">IF(F151="","",IF(J151="Proficient","Yes","No"))</f>
        <v/>
      </c>
      <c r="L151" s="6" t="str">
        <f aca="false">IF(F151="","",INDEX({"Listening","Speaking","Reading","Writing"},MATCH(MIN(F151:I151),F151:I151,0)))</f>
        <v/>
      </c>
      <c r="M151" s="17"/>
      <c r="N151" s="6" t="str">
        <f aca="false">IF(OR(F151="",M151=""),"",ROUND(AVERAGE(F151:I151)-M151,1))</f>
        <v/>
      </c>
      <c r="O151" s="17"/>
      <c r="P151" s="17"/>
      <c r="Q151" s="17"/>
    </row>
    <row r="152" customFormat="false" ht="15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6" t="str">
        <f aca="false">IF(F152="","",IF(AND(F152&gt;=4,G152&gt;=4,H152&gt;=4,I152&gt;=4),"Proficient",IF(AND(F152&lt;=2,G152&lt;=2,H152&lt;=2,I152&lt;=2),"Emerging","Progressing")))</f>
        <v/>
      </c>
      <c r="K152" s="6" t="str">
        <f aca="false">IF(F152="","",IF(J152="Proficient","Yes","No"))</f>
        <v/>
      </c>
      <c r="L152" s="6" t="str">
        <f aca="false">IF(F152="","",INDEX({"Listening","Speaking","Reading","Writing"},MATCH(MIN(F152:I152),F152:I152,0)))</f>
        <v/>
      </c>
      <c r="M152" s="17"/>
      <c r="N152" s="6" t="str">
        <f aca="false">IF(OR(F152="",M152=""),"",ROUND(AVERAGE(F152:I152)-M152,1))</f>
        <v/>
      </c>
      <c r="O152" s="17"/>
      <c r="P152" s="17"/>
      <c r="Q152" s="17"/>
    </row>
    <row r="153" customFormat="false" ht="15" hidden="false" customHeight="tru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6" t="str">
        <f aca="false">IF(F153="","",IF(AND(F153&gt;=4,G153&gt;=4,H153&gt;=4,I153&gt;=4),"Proficient",IF(AND(F153&lt;=2,G153&lt;=2,H153&lt;=2,I153&lt;=2),"Emerging","Progressing")))</f>
        <v/>
      </c>
      <c r="K153" s="6" t="str">
        <f aca="false">IF(F153="","",IF(J153="Proficient","Yes","No"))</f>
        <v/>
      </c>
      <c r="L153" s="6" t="str">
        <f aca="false">IF(F153="","",INDEX({"Listening","Speaking","Reading","Writing"},MATCH(MIN(F153:I153),F153:I153,0)))</f>
        <v/>
      </c>
      <c r="M153" s="17"/>
      <c r="N153" s="6" t="str">
        <f aca="false">IF(OR(F153="",M153=""),"",ROUND(AVERAGE(F153:I153)-M153,1))</f>
        <v/>
      </c>
      <c r="O153" s="17"/>
      <c r="P153" s="17"/>
      <c r="Q153" s="17"/>
    </row>
    <row r="154" customFormat="false" ht="15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6" t="str">
        <f aca="false">IF(F154="","",IF(AND(F154&gt;=4,G154&gt;=4,H154&gt;=4,I154&gt;=4),"Proficient",IF(AND(F154&lt;=2,G154&lt;=2,H154&lt;=2,I154&lt;=2),"Emerging","Progressing")))</f>
        <v/>
      </c>
      <c r="K154" s="6" t="str">
        <f aca="false">IF(F154="","",IF(J154="Proficient","Yes","No"))</f>
        <v/>
      </c>
      <c r="L154" s="6" t="str">
        <f aca="false">IF(F154="","",INDEX({"Listening","Speaking","Reading","Writing"},MATCH(MIN(F154:I154),F154:I154,0)))</f>
        <v/>
      </c>
      <c r="M154" s="17"/>
      <c r="N154" s="6" t="str">
        <f aca="false">IF(OR(F154="",M154=""),"",ROUND(AVERAGE(F154:I154)-M154,1))</f>
        <v/>
      </c>
      <c r="O154" s="17"/>
      <c r="P154" s="17"/>
      <c r="Q154" s="17"/>
    </row>
    <row r="155" customFormat="false" ht="15" hidden="false" customHeight="tru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6" t="str">
        <f aca="false">IF(F155="","",IF(AND(F155&gt;=4,G155&gt;=4,H155&gt;=4,I155&gt;=4),"Proficient",IF(AND(F155&lt;=2,G155&lt;=2,H155&lt;=2,I155&lt;=2),"Emerging","Progressing")))</f>
        <v/>
      </c>
      <c r="K155" s="6" t="str">
        <f aca="false">IF(F155="","",IF(J155="Proficient","Yes","No"))</f>
        <v/>
      </c>
      <c r="L155" s="6" t="str">
        <f aca="false">IF(F155="","",INDEX({"Listening","Speaking","Reading","Writing"},MATCH(MIN(F155:I155),F155:I155,0)))</f>
        <v/>
      </c>
      <c r="M155" s="17"/>
      <c r="N155" s="6" t="str">
        <f aca="false">IF(OR(F155="",M155=""),"",ROUND(AVERAGE(F155:I155)-M155,1))</f>
        <v/>
      </c>
      <c r="O155" s="17"/>
      <c r="P155" s="17"/>
      <c r="Q155" s="17"/>
    </row>
    <row r="156" customFormat="false" ht="15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6" t="str">
        <f aca="false">IF(F156="","",IF(AND(F156&gt;=4,G156&gt;=4,H156&gt;=4,I156&gt;=4),"Proficient",IF(AND(F156&lt;=2,G156&lt;=2,H156&lt;=2,I156&lt;=2),"Emerging","Progressing")))</f>
        <v/>
      </c>
      <c r="K156" s="6" t="str">
        <f aca="false">IF(F156="","",IF(J156="Proficient","Yes","No"))</f>
        <v/>
      </c>
      <c r="L156" s="6" t="str">
        <f aca="false">IF(F156="","",INDEX({"Listening","Speaking","Reading","Writing"},MATCH(MIN(F156:I156),F156:I156,0)))</f>
        <v/>
      </c>
      <c r="M156" s="17"/>
      <c r="N156" s="6" t="str">
        <f aca="false">IF(OR(F156="",M156=""),"",ROUND(AVERAGE(F156:I156)-M156,1))</f>
        <v/>
      </c>
      <c r="O156" s="17"/>
      <c r="P156" s="17"/>
      <c r="Q156" s="17"/>
    </row>
    <row r="157" customFormat="false" ht="15" hidden="false" customHeight="tru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6" t="str">
        <f aca="false">IF(F157="","",IF(AND(F157&gt;=4,G157&gt;=4,H157&gt;=4,I157&gt;=4),"Proficient",IF(AND(F157&lt;=2,G157&lt;=2,H157&lt;=2,I157&lt;=2),"Emerging","Progressing")))</f>
        <v/>
      </c>
      <c r="K157" s="6" t="str">
        <f aca="false">IF(F157="","",IF(J157="Proficient","Yes","No"))</f>
        <v/>
      </c>
      <c r="L157" s="6" t="str">
        <f aca="false">IF(F157="","",INDEX({"Listening","Speaking","Reading","Writing"},MATCH(MIN(F157:I157),F157:I157,0)))</f>
        <v/>
      </c>
      <c r="M157" s="17"/>
      <c r="N157" s="6" t="str">
        <f aca="false">IF(OR(F157="",M157=""),"",ROUND(AVERAGE(F157:I157)-M157,1))</f>
        <v/>
      </c>
      <c r="O157" s="17"/>
      <c r="P157" s="17"/>
      <c r="Q157" s="17"/>
    </row>
    <row r="158" customFormat="false" ht="15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6" t="str">
        <f aca="false">IF(F158="","",IF(AND(F158&gt;=4,G158&gt;=4,H158&gt;=4,I158&gt;=4),"Proficient",IF(AND(F158&lt;=2,G158&lt;=2,H158&lt;=2,I158&lt;=2),"Emerging","Progressing")))</f>
        <v/>
      </c>
      <c r="K158" s="6" t="str">
        <f aca="false">IF(F158="","",IF(J158="Proficient","Yes","No"))</f>
        <v/>
      </c>
      <c r="L158" s="6" t="str">
        <f aca="false">IF(F158="","",INDEX({"Listening","Speaking","Reading","Writing"},MATCH(MIN(F158:I158),F158:I158,0)))</f>
        <v/>
      </c>
      <c r="M158" s="17"/>
      <c r="N158" s="6" t="str">
        <f aca="false">IF(OR(F158="",M158=""),"",ROUND(AVERAGE(F158:I158)-M158,1))</f>
        <v/>
      </c>
      <c r="O158" s="17"/>
      <c r="P158" s="17"/>
      <c r="Q158" s="17"/>
    </row>
    <row r="159" customFormat="false" ht="15" hidden="false" customHeight="tru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6" t="str">
        <f aca="false">IF(F159="","",IF(AND(F159&gt;=4,G159&gt;=4,H159&gt;=4,I159&gt;=4),"Proficient",IF(AND(F159&lt;=2,G159&lt;=2,H159&lt;=2,I159&lt;=2),"Emerging","Progressing")))</f>
        <v/>
      </c>
      <c r="K159" s="6" t="str">
        <f aca="false">IF(F159="","",IF(J159="Proficient","Yes","No"))</f>
        <v/>
      </c>
      <c r="L159" s="6" t="str">
        <f aca="false">IF(F159="","",INDEX({"Listening","Speaking","Reading","Writing"},MATCH(MIN(F159:I159),F159:I159,0)))</f>
        <v/>
      </c>
      <c r="M159" s="17"/>
      <c r="N159" s="6" t="str">
        <f aca="false">IF(OR(F159="",M159=""),"",ROUND(AVERAGE(F159:I159)-M159,1))</f>
        <v/>
      </c>
      <c r="O159" s="17"/>
      <c r="P159" s="17"/>
      <c r="Q159" s="17"/>
    </row>
    <row r="160" customFormat="false" ht="15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6" t="str">
        <f aca="false">IF(F160="","",IF(AND(F160&gt;=4,G160&gt;=4,H160&gt;=4,I160&gt;=4),"Proficient",IF(AND(F160&lt;=2,G160&lt;=2,H160&lt;=2,I160&lt;=2),"Emerging","Progressing")))</f>
        <v/>
      </c>
      <c r="K160" s="6" t="str">
        <f aca="false">IF(F160="","",IF(J160="Proficient","Yes","No"))</f>
        <v/>
      </c>
      <c r="L160" s="6" t="str">
        <f aca="false">IF(F160="","",INDEX({"Listening","Speaking","Reading","Writing"},MATCH(MIN(F160:I160),F160:I160,0)))</f>
        <v/>
      </c>
      <c r="M160" s="17"/>
      <c r="N160" s="6" t="str">
        <f aca="false">IF(OR(F160="",M160=""),"",ROUND(AVERAGE(F160:I160)-M160,1))</f>
        <v/>
      </c>
      <c r="O160" s="17"/>
      <c r="P160" s="17"/>
      <c r="Q160" s="17"/>
    </row>
    <row r="161" customFormat="false" ht="15" hidden="false" customHeight="tru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6" t="str">
        <f aca="false">IF(F161="","",IF(AND(F161&gt;=4,G161&gt;=4,H161&gt;=4,I161&gt;=4),"Proficient",IF(AND(F161&lt;=2,G161&lt;=2,H161&lt;=2,I161&lt;=2),"Emerging","Progressing")))</f>
        <v/>
      </c>
      <c r="K161" s="6" t="str">
        <f aca="false">IF(F161="","",IF(J161="Proficient","Yes","No"))</f>
        <v/>
      </c>
      <c r="L161" s="6" t="str">
        <f aca="false">IF(F161="","",INDEX({"Listening","Speaking","Reading","Writing"},MATCH(MIN(F161:I161),F161:I161,0)))</f>
        <v/>
      </c>
      <c r="M161" s="17"/>
      <c r="N161" s="6" t="str">
        <f aca="false">IF(OR(F161="",M161=""),"",ROUND(AVERAGE(F161:I161)-M161,1))</f>
        <v/>
      </c>
      <c r="O161" s="17"/>
      <c r="P161" s="17"/>
      <c r="Q161" s="17"/>
    </row>
    <row r="162" customFormat="false" ht="15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6" t="str">
        <f aca="false">IF(F162="","",IF(AND(F162&gt;=4,G162&gt;=4,H162&gt;=4,I162&gt;=4),"Proficient",IF(AND(F162&lt;=2,G162&lt;=2,H162&lt;=2,I162&lt;=2),"Emerging","Progressing")))</f>
        <v/>
      </c>
      <c r="K162" s="6" t="str">
        <f aca="false">IF(F162="","",IF(J162="Proficient","Yes","No"))</f>
        <v/>
      </c>
      <c r="L162" s="6" t="str">
        <f aca="false">IF(F162="","",INDEX({"Listening","Speaking","Reading","Writing"},MATCH(MIN(F162:I162),F162:I162,0)))</f>
        <v/>
      </c>
      <c r="M162" s="17"/>
      <c r="N162" s="6" t="str">
        <f aca="false">IF(OR(F162="",M162=""),"",ROUND(AVERAGE(F162:I162)-M162,1))</f>
        <v/>
      </c>
      <c r="O162" s="17"/>
      <c r="P162" s="17"/>
      <c r="Q162" s="17"/>
    </row>
    <row r="163" customFormat="false" ht="15" hidden="false" customHeight="tru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6" t="str">
        <f aca="false">IF(F163="","",IF(AND(F163&gt;=4,G163&gt;=4,H163&gt;=4,I163&gt;=4),"Proficient",IF(AND(F163&lt;=2,G163&lt;=2,H163&lt;=2,I163&lt;=2),"Emerging","Progressing")))</f>
        <v/>
      </c>
      <c r="K163" s="6" t="str">
        <f aca="false">IF(F163="","",IF(J163="Proficient","Yes","No"))</f>
        <v/>
      </c>
      <c r="L163" s="6" t="str">
        <f aca="false">IF(F163="","",INDEX({"Listening","Speaking","Reading","Writing"},MATCH(MIN(F163:I163),F163:I163,0)))</f>
        <v/>
      </c>
      <c r="M163" s="17"/>
      <c r="N163" s="6" t="str">
        <f aca="false">IF(OR(F163="",M163=""),"",ROUND(AVERAGE(F163:I163)-M163,1))</f>
        <v/>
      </c>
      <c r="O163" s="17"/>
      <c r="P163" s="17"/>
      <c r="Q163" s="17"/>
    </row>
    <row r="164" customFormat="false" ht="15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6" t="str">
        <f aca="false">IF(F164="","",IF(AND(F164&gt;=4,G164&gt;=4,H164&gt;=4,I164&gt;=4),"Proficient",IF(AND(F164&lt;=2,G164&lt;=2,H164&lt;=2,I164&lt;=2),"Emerging","Progressing")))</f>
        <v/>
      </c>
      <c r="K164" s="6" t="str">
        <f aca="false">IF(F164="","",IF(J164="Proficient","Yes","No"))</f>
        <v/>
      </c>
      <c r="L164" s="6" t="str">
        <f aca="false">IF(F164="","",INDEX({"Listening","Speaking","Reading","Writing"},MATCH(MIN(F164:I164),F164:I164,0)))</f>
        <v/>
      </c>
      <c r="M164" s="17"/>
      <c r="N164" s="6" t="str">
        <f aca="false">IF(OR(F164="",M164=""),"",ROUND(AVERAGE(F164:I164)-M164,1))</f>
        <v/>
      </c>
      <c r="O164" s="17"/>
      <c r="P164" s="17"/>
      <c r="Q164" s="17"/>
    </row>
    <row r="165" customFormat="false" ht="15" hidden="false" customHeight="tru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6" t="str">
        <f aca="false">IF(F165="","",IF(AND(F165&gt;=4,G165&gt;=4,H165&gt;=4,I165&gt;=4),"Proficient",IF(AND(F165&lt;=2,G165&lt;=2,H165&lt;=2,I165&lt;=2),"Emerging","Progressing")))</f>
        <v/>
      </c>
      <c r="K165" s="6" t="str">
        <f aca="false">IF(F165="","",IF(J165="Proficient","Yes","No"))</f>
        <v/>
      </c>
      <c r="L165" s="6" t="str">
        <f aca="false">IF(F165="","",INDEX({"Listening","Speaking","Reading","Writing"},MATCH(MIN(F165:I165),F165:I165,0)))</f>
        <v/>
      </c>
      <c r="M165" s="17"/>
      <c r="N165" s="6" t="str">
        <f aca="false">IF(OR(F165="",M165=""),"",ROUND(AVERAGE(F165:I165)-M165,1))</f>
        <v/>
      </c>
      <c r="O165" s="17"/>
      <c r="P165" s="17"/>
      <c r="Q165" s="17"/>
    </row>
    <row r="166" customFormat="false" ht="15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6" t="str">
        <f aca="false">IF(F166="","",IF(AND(F166&gt;=4,G166&gt;=4,H166&gt;=4,I166&gt;=4),"Proficient",IF(AND(F166&lt;=2,G166&lt;=2,H166&lt;=2,I166&lt;=2),"Emerging","Progressing")))</f>
        <v/>
      </c>
      <c r="K166" s="6" t="str">
        <f aca="false">IF(F166="","",IF(J166="Proficient","Yes","No"))</f>
        <v/>
      </c>
      <c r="L166" s="6" t="str">
        <f aca="false">IF(F166="","",INDEX({"Listening","Speaking","Reading","Writing"},MATCH(MIN(F166:I166),F166:I166,0)))</f>
        <v/>
      </c>
      <c r="M166" s="17"/>
      <c r="N166" s="6" t="str">
        <f aca="false">IF(OR(F166="",M166=""),"",ROUND(AVERAGE(F166:I166)-M166,1))</f>
        <v/>
      </c>
      <c r="O166" s="17"/>
      <c r="P166" s="17"/>
      <c r="Q166" s="17"/>
    </row>
    <row r="167" customFormat="false" ht="15" hidden="false" customHeight="tru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6" t="str">
        <f aca="false">IF(F167="","",IF(AND(F167&gt;=4,G167&gt;=4,H167&gt;=4,I167&gt;=4),"Proficient",IF(AND(F167&lt;=2,G167&lt;=2,H167&lt;=2,I167&lt;=2),"Emerging","Progressing")))</f>
        <v/>
      </c>
      <c r="K167" s="6" t="str">
        <f aca="false">IF(F167="","",IF(J167="Proficient","Yes","No"))</f>
        <v/>
      </c>
      <c r="L167" s="6" t="str">
        <f aca="false">IF(F167="","",INDEX({"Listening","Speaking","Reading","Writing"},MATCH(MIN(F167:I167),F167:I167,0)))</f>
        <v/>
      </c>
      <c r="M167" s="17"/>
      <c r="N167" s="6" t="str">
        <f aca="false">IF(OR(F167="",M167=""),"",ROUND(AVERAGE(F167:I167)-M167,1))</f>
        <v/>
      </c>
      <c r="O167" s="17"/>
      <c r="P167" s="17"/>
      <c r="Q167" s="17"/>
    </row>
    <row r="168" customFormat="false" ht="15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6" t="str">
        <f aca="false">IF(F168="","",IF(AND(F168&gt;=4,G168&gt;=4,H168&gt;=4,I168&gt;=4),"Proficient",IF(AND(F168&lt;=2,G168&lt;=2,H168&lt;=2,I168&lt;=2),"Emerging","Progressing")))</f>
        <v/>
      </c>
      <c r="K168" s="6" t="str">
        <f aca="false">IF(F168="","",IF(J168="Proficient","Yes","No"))</f>
        <v/>
      </c>
      <c r="L168" s="6" t="str">
        <f aca="false">IF(F168="","",INDEX({"Listening","Speaking","Reading","Writing"},MATCH(MIN(F168:I168),F168:I168,0)))</f>
        <v/>
      </c>
      <c r="M168" s="17"/>
      <c r="N168" s="6" t="str">
        <f aca="false">IF(OR(F168="",M168=""),"",ROUND(AVERAGE(F168:I168)-M168,1))</f>
        <v/>
      </c>
      <c r="O168" s="17"/>
      <c r="P168" s="17"/>
      <c r="Q168" s="17"/>
    </row>
    <row r="169" customFormat="false" ht="15" hidden="false" customHeight="tru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6" t="str">
        <f aca="false">IF(F169="","",IF(AND(F169&gt;=4,G169&gt;=4,H169&gt;=4,I169&gt;=4),"Proficient",IF(AND(F169&lt;=2,G169&lt;=2,H169&lt;=2,I169&lt;=2),"Emerging","Progressing")))</f>
        <v/>
      </c>
      <c r="K169" s="6" t="str">
        <f aca="false">IF(F169="","",IF(J169="Proficient","Yes","No"))</f>
        <v/>
      </c>
      <c r="L169" s="6" t="str">
        <f aca="false">IF(F169="","",INDEX({"Listening","Speaking","Reading","Writing"},MATCH(MIN(F169:I169),F169:I169,0)))</f>
        <v/>
      </c>
      <c r="M169" s="17"/>
      <c r="N169" s="6" t="str">
        <f aca="false">IF(OR(F169="",M169=""),"",ROUND(AVERAGE(F169:I169)-M169,1))</f>
        <v/>
      </c>
      <c r="O169" s="17"/>
      <c r="P169" s="17"/>
      <c r="Q169" s="17"/>
    </row>
    <row r="170" customFormat="false" ht="15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6" t="str">
        <f aca="false">IF(F170="","",IF(AND(F170&gt;=4,G170&gt;=4,H170&gt;=4,I170&gt;=4),"Proficient",IF(AND(F170&lt;=2,G170&lt;=2,H170&lt;=2,I170&lt;=2),"Emerging","Progressing")))</f>
        <v/>
      </c>
      <c r="K170" s="6" t="str">
        <f aca="false">IF(F170="","",IF(J170="Proficient","Yes","No"))</f>
        <v/>
      </c>
      <c r="L170" s="6" t="str">
        <f aca="false">IF(F170="","",INDEX({"Listening","Speaking","Reading","Writing"},MATCH(MIN(F170:I170),F170:I170,0)))</f>
        <v/>
      </c>
      <c r="M170" s="17"/>
      <c r="N170" s="6" t="str">
        <f aca="false">IF(OR(F170="",M170=""),"",ROUND(AVERAGE(F170:I170)-M170,1))</f>
        <v/>
      </c>
      <c r="O170" s="17"/>
      <c r="P170" s="17"/>
      <c r="Q170" s="17"/>
    </row>
    <row r="171" customFormat="false" ht="15" hidden="false" customHeight="tru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6" t="str">
        <f aca="false">IF(F171="","",IF(AND(F171&gt;=4,G171&gt;=4,H171&gt;=4,I171&gt;=4),"Proficient",IF(AND(F171&lt;=2,G171&lt;=2,H171&lt;=2,I171&lt;=2),"Emerging","Progressing")))</f>
        <v/>
      </c>
      <c r="K171" s="6" t="str">
        <f aca="false">IF(F171="","",IF(J171="Proficient","Yes","No"))</f>
        <v/>
      </c>
      <c r="L171" s="6" t="str">
        <f aca="false">IF(F171="","",INDEX({"Listening","Speaking","Reading","Writing"},MATCH(MIN(F171:I171),F171:I171,0)))</f>
        <v/>
      </c>
      <c r="M171" s="17"/>
      <c r="N171" s="6" t="str">
        <f aca="false">IF(OR(F171="",M171=""),"",ROUND(AVERAGE(F171:I171)-M171,1))</f>
        <v/>
      </c>
      <c r="O171" s="17"/>
      <c r="P171" s="17"/>
      <c r="Q171" s="17"/>
    </row>
    <row r="172" customFormat="false" ht="15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6" t="str">
        <f aca="false">IF(F172="","",IF(AND(F172&gt;=4,G172&gt;=4,H172&gt;=4,I172&gt;=4),"Proficient",IF(AND(F172&lt;=2,G172&lt;=2,H172&lt;=2,I172&lt;=2),"Emerging","Progressing")))</f>
        <v/>
      </c>
      <c r="K172" s="6" t="str">
        <f aca="false">IF(F172="","",IF(J172="Proficient","Yes","No"))</f>
        <v/>
      </c>
      <c r="L172" s="6" t="str">
        <f aca="false">IF(F172="","",INDEX({"Listening","Speaking","Reading","Writing"},MATCH(MIN(F172:I172),F172:I172,0)))</f>
        <v/>
      </c>
      <c r="M172" s="17"/>
      <c r="N172" s="6" t="str">
        <f aca="false">IF(OR(F172="",M172=""),"",ROUND(AVERAGE(F172:I172)-M172,1))</f>
        <v/>
      </c>
      <c r="O172" s="17"/>
      <c r="P172" s="17"/>
      <c r="Q172" s="17"/>
    </row>
    <row r="173" customFormat="false" ht="15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6" t="str">
        <f aca="false">IF(F173="","",IF(AND(F173&gt;=4,G173&gt;=4,H173&gt;=4,I173&gt;=4),"Proficient",IF(AND(F173&lt;=2,G173&lt;=2,H173&lt;=2,I173&lt;=2),"Emerging","Progressing")))</f>
        <v/>
      </c>
      <c r="K173" s="6" t="str">
        <f aca="false">IF(F173="","",IF(J173="Proficient","Yes","No"))</f>
        <v/>
      </c>
      <c r="L173" s="6" t="str">
        <f aca="false">IF(F173="","",INDEX({"Listening","Speaking","Reading","Writing"},MATCH(MIN(F173:I173),F173:I173,0)))</f>
        <v/>
      </c>
      <c r="M173" s="17"/>
      <c r="N173" s="6" t="str">
        <f aca="false">IF(OR(F173="",M173=""),"",ROUND(AVERAGE(F173:I173)-M173,1))</f>
        <v/>
      </c>
      <c r="O173" s="17"/>
      <c r="P173" s="17"/>
      <c r="Q173" s="17"/>
    </row>
    <row r="174" customFormat="false" ht="15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6" t="str">
        <f aca="false">IF(F174="","",IF(AND(F174&gt;=4,G174&gt;=4,H174&gt;=4,I174&gt;=4),"Proficient",IF(AND(F174&lt;=2,G174&lt;=2,H174&lt;=2,I174&lt;=2),"Emerging","Progressing")))</f>
        <v/>
      </c>
      <c r="K174" s="6" t="str">
        <f aca="false">IF(F174="","",IF(J174="Proficient","Yes","No"))</f>
        <v/>
      </c>
      <c r="L174" s="6" t="str">
        <f aca="false">IF(F174="","",INDEX({"Listening","Speaking","Reading","Writing"},MATCH(MIN(F174:I174),F174:I174,0)))</f>
        <v/>
      </c>
      <c r="M174" s="17"/>
      <c r="N174" s="6" t="str">
        <f aca="false">IF(OR(F174="",M174=""),"",ROUND(AVERAGE(F174:I174)-M174,1))</f>
        <v/>
      </c>
      <c r="O174" s="17"/>
      <c r="P174" s="17"/>
      <c r="Q174" s="17"/>
    </row>
    <row r="175" customFormat="false" ht="15" hidden="false" customHeight="tru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6" t="str">
        <f aca="false">IF(F175="","",IF(AND(F175&gt;=4,G175&gt;=4,H175&gt;=4,I175&gt;=4),"Proficient",IF(AND(F175&lt;=2,G175&lt;=2,H175&lt;=2,I175&lt;=2),"Emerging","Progressing")))</f>
        <v/>
      </c>
      <c r="K175" s="6" t="str">
        <f aca="false">IF(F175="","",IF(J175="Proficient","Yes","No"))</f>
        <v/>
      </c>
      <c r="L175" s="6" t="str">
        <f aca="false">IF(F175="","",INDEX({"Listening","Speaking","Reading","Writing"},MATCH(MIN(F175:I175),F175:I175,0)))</f>
        <v/>
      </c>
      <c r="M175" s="17"/>
      <c r="N175" s="6" t="str">
        <f aca="false">IF(OR(F175="",M175=""),"",ROUND(AVERAGE(F175:I175)-M175,1))</f>
        <v/>
      </c>
      <c r="O175" s="17"/>
      <c r="P175" s="17"/>
      <c r="Q175" s="17"/>
    </row>
    <row r="176" customFormat="false" ht="15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6" t="str">
        <f aca="false">IF(F176="","",IF(AND(F176&gt;=4,G176&gt;=4,H176&gt;=4,I176&gt;=4),"Proficient",IF(AND(F176&lt;=2,G176&lt;=2,H176&lt;=2,I176&lt;=2),"Emerging","Progressing")))</f>
        <v/>
      </c>
      <c r="K176" s="6" t="str">
        <f aca="false">IF(F176="","",IF(J176="Proficient","Yes","No"))</f>
        <v/>
      </c>
      <c r="L176" s="6" t="str">
        <f aca="false">IF(F176="","",INDEX({"Listening","Speaking","Reading","Writing"},MATCH(MIN(F176:I176),F176:I176,0)))</f>
        <v/>
      </c>
      <c r="M176" s="17"/>
      <c r="N176" s="6" t="str">
        <f aca="false">IF(OR(F176="",M176=""),"",ROUND(AVERAGE(F176:I176)-M176,1))</f>
        <v/>
      </c>
      <c r="O176" s="17"/>
      <c r="P176" s="17"/>
      <c r="Q176" s="17"/>
    </row>
    <row r="177" customFormat="false" ht="15" hidden="false" customHeight="tru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6" t="str">
        <f aca="false">IF(F177="","",IF(AND(F177&gt;=4,G177&gt;=4,H177&gt;=4,I177&gt;=4),"Proficient",IF(AND(F177&lt;=2,G177&lt;=2,H177&lt;=2,I177&lt;=2),"Emerging","Progressing")))</f>
        <v/>
      </c>
      <c r="K177" s="6" t="str">
        <f aca="false">IF(F177="","",IF(J177="Proficient","Yes","No"))</f>
        <v/>
      </c>
      <c r="L177" s="6" t="str">
        <f aca="false">IF(F177="","",INDEX({"Listening","Speaking","Reading","Writing"},MATCH(MIN(F177:I177),F177:I177,0)))</f>
        <v/>
      </c>
      <c r="M177" s="17"/>
      <c r="N177" s="6" t="str">
        <f aca="false">IF(OR(F177="",M177=""),"",ROUND(AVERAGE(F177:I177)-M177,1))</f>
        <v/>
      </c>
      <c r="O177" s="17"/>
      <c r="P177" s="17"/>
      <c r="Q177" s="17"/>
    </row>
    <row r="178" customFormat="false" ht="15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6" t="str">
        <f aca="false">IF(F178="","",IF(AND(F178&gt;=4,G178&gt;=4,H178&gt;=4,I178&gt;=4),"Proficient",IF(AND(F178&lt;=2,G178&lt;=2,H178&lt;=2,I178&lt;=2),"Emerging","Progressing")))</f>
        <v/>
      </c>
      <c r="K178" s="6" t="str">
        <f aca="false">IF(F178="","",IF(J178="Proficient","Yes","No"))</f>
        <v/>
      </c>
      <c r="L178" s="6" t="str">
        <f aca="false">IF(F178="","",INDEX({"Listening","Speaking","Reading","Writing"},MATCH(MIN(F178:I178),F178:I178,0)))</f>
        <v/>
      </c>
      <c r="M178" s="17"/>
      <c r="N178" s="6" t="str">
        <f aca="false">IF(OR(F178="",M178=""),"",ROUND(AVERAGE(F178:I178)-M178,1))</f>
        <v/>
      </c>
      <c r="O178" s="17"/>
      <c r="P178" s="17"/>
      <c r="Q178" s="17"/>
    </row>
    <row r="179" customFormat="false" ht="15" hidden="false" customHeight="tru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6" t="str">
        <f aca="false">IF(F179="","",IF(AND(F179&gt;=4,G179&gt;=4,H179&gt;=4,I179&gt;=4),"Proficient",IF(AND(F179&lt;=2,G179&lt;=2,H179&lt;=2,I179&lt;=2),"Emerging","Progressing")))</f>
        <v/>
      </c>
      <c r="K179" s="6" t="str">
        <f aca="false">IF(F179="","",IF(J179="Proficient","Yes","No"))</f>
        <v/>
      </c>
      <c r="L179" s="6" t="str">
        <f aca="false">IF(F179="","",INDEX({"Listening","Speaking","Reading","Writing"},MATCH(MIN(F179:I179),F179:I179,0)))</f>
        <v/>
      </c>
      <c r="M179" s="17"/>
      <c r="N179" s="6" t="str">
        <f aca="false">IF(OR(F179="",M179=""),"",ROUND(AVERAGE(F179:I179)-M179,1))</f>
        <v/>
      </c>
      <c r="O179" s="17"/>
      <c r="P179" s="17"/>
      <c r="Q179" s="17"/>
    </row>
    <row r="180" customFormat="false" ht="15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6" t="str">
        <f aca="false">IF(F180="","",IF(AND(F180&gt;=4,G180&gt;=4,H180&gt;=4,I180&gt;=4),"Proficient",IF(AND(F180&lt;=2,G180&lt;=2,H180&lt;=2,I180&lt;=2),"Emerging","Progressing")))</f>
        <v/>
      </c>
      <c r="K180" s="6" t="str">
        <f aca="false">IF(F180="","",IF(J180="Proficient","Yes","No"))</f>
        <v/>
      </c>
      <c r="L180" s="6" t="str">
        <f aca="false">IF(F180="","",INDEX({"Listening","Speaking","Reading","Writing"},MATCH(MIN(F180:I180),F180:I180,0)))</f>
        <v/>
      </c>
      <c r="M180" s="17"/>
      <c r="N180" s="6" t="str">
        <f aca="false">IF(OR(F180="",M180=""),"",ROUND(AVERAGE(F180:I180)-M180,1))</f>
        <v/>
      </c>
      <c r="O180" s="17"/>
      <c r="P180" s="17"/>
      <c r="Q180" s="17"/>
    </row>
    <row r="181" customFormat="false" ht="15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6" t="str">
        <f aca="false">IF(F181="","",IF(AND(F181&gt;=4,G181&gt;=4,H181&gt;=4,I181&gt;=4),"Proficient",IF(AND(F181&lt;=2,G181&lt;=2,H181&lt;=2,I181&lt;=2),"Emerging","Progressing")))</f>
        <v/>
      </c>
      <c r="K181" s="6" t="str">
        <f aca="false">IF(F181="","",IF(J181="Proficient","Yes","No"))</f>
        <v/>
      </c>
      <c r="L181" s="6" t="str">
        <f aca="false">IF(F181="","",INDEX({"Listening","Speaking","Reading","Writing"},MATCH(MIN(F181:I181),F181:I181,0)))</f>
        <v/>
      </c>
      <c r="M181" s="17"/>
      <c r="N181" s="6" t="str">
        <f aca="false">IF(OR(F181="",M181=""),"",ROUND(AVERAGE(F181:I181)-M181,1))</f>
        <v/>
      </c>
      <c r="O181" s="17"/>
      <c r="P181" s="17"/>
      <c r="Q181" s="17"/>
    </row>
    <row r="182" customFormat="false" ht="15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6" t="str">
        <f aca="false">IF(F182="","",IF(AND(F182&gt;=4,G182&gt;=4,H182&gt;=4,I182&gt;=4),"Proficient",IF(AND(F182&lt;=2,G182&lt;=2,H182&lt;=2,I182&lt;=2),"Emerging","Progressing")))</f>
        <v/>
      </c>
      <c r="K182" s="6" t="str">
        <f aca="false">IF(F182="","",IF(J182="Proficient","Yes","No"))</f>
        <v/>
      </c>
      <c r="L182" s="6" t="str">
        <f aca="false">IF(F182="","",INDEX({"Listening","Speaking","Reading","Writing"},MATCH(MIN(F182:I182),F182:I182,0)))</f>
        <v/>
      </c>
      <c r="M182" s="17"/>
      <c r="N182" s="6" t="str">
        <f aca="false">IF(OR(F182="",M182=""),"",ROUND(AVERAGE(F182:I182)-M182,1))</f>
        <v/>
      </c>
      <c r="O182" s="17"/>
      <c r="P182" s="17"/>
      <c r="Q182" s="17"/>
    </row>
    <row r="183" customFormat="false" ht="15" hidden="false" customHeight="tru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6" t="str">
        <f aca="false">IF(F183="","",IF(AND(F183&gt;=4,G183&gt;=4,H183&gt;=4,I183&gt;=4),"Proficient",IF(AND(F183&lt;=2,G183&lt;=2,H183&lt;=2,I183&lt;=2),"Emerging","Progressing")))</f>
        <v/>
      </c>
      <c r="K183" s="6" t="str">
        <f aca="false">IF(F183="","",IF(J183="Proficient","Yes","No"))</f>
        <v/>
      </c>
      <c r="L183" s="6" t="str">
        <f aca="false">IF(F183="","",INDEX({"Listening","Speaking","Reading","Writing"},MATCH(MIN(F183:I183),F183:I183,0)))</f>
        <v/>
      </c>
      <c r="M183" s="17"/>
      <c r="N183" s="6" t="str">
        <f aca="false">IF(OR(F183="",M183=""),"",ROUND(AVERAGE(F183:I183)-M183,1))</f>
        <v/>
      </c>
      <c r="O183" s="17"/>
      <c r="P183" s="17"/>
      <c r="Q183" s="17"/>
    </row>
    <row r="184" customFormat="false" ht="15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6" t="str">
        <f aca="false">IF(F184="","",IF(AND(F184&gt;=4,G184&gt;=4,H184&gt;=4,I184&gt;=4),"Proficient",IF(AND(F184&lt;=2,G184&lt;=2,H184&lt;=2,I184&lt;=2),"Emerging","Progressing")))</f>
        <v/>
      </c>
      <c r="K184" s="6" t="str">
        <f aca="false">IF(F184="","",IF(J184="Proficient","Yes","No"))</f>
        <v/>
      </c>
      <c r="L184" s="6" t="str">
        <f aca="false">IF(F184="","",INDEX({"Listening","Speaking","Reading","Writing"},MATCH(MIN(F184:I184),F184:I184,0)))</f>
        <v/>
      </c>
      <c r="M184" s="17"/>
      <c r="N184" s="6" t="str">
        <f aca="false">IF(OR(F184="",M184=""),"",ROUND(AVERAGE(F184:I184)-M184,1))</f>
        <v/>
      </c>
      <c r="O184" s="17"/>
      <c r="P184" s="17"/>
      <c r="Q184" s="17"/>
    </row>
    <row r="185" customFormat="false" ht="15" hidden="false" customHeight="tru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6" t="str">
        <f aca="false">IF(F185="","",IF(AND(F185&gt;=4,G185&gt;=4,H185&gt;=4,I185&gt;=4),"Proficient",IF(AND(F185&lt;=2,G185&lt;=2,H185&lt;=2,I185&lt;=2),"Emerging","Progressing")))</f>
        <v/>
      </c>
      <c r="K185" s="6" t="str">
        <f aca="false">IF(F185="","",IF(J185="Proficient","Yes","No"))</f>
        <v/>
      </c>
      <c r="L185" s="6" t="str">
        <f aca="false">IF(F185="","",INDEX({"Listening","Speaking","Reading","Writing"},MATCH(MIN(F185:I185),F185:I185,0)))</f>
        <v/>
      </c>
      <c r="M185" s="17"/>
      <c r="N185" s="6" t="str">
        <f aca="false">IF(OR(F185="",M185=""),"",ROUND(AVERAGE(F185:I185)-M185,1))</f>
        <v/>
      </c>
      <c r="O185" s="17"/>
      <c r="P185" s="17"/>
      <c r="Q185" s="17"/>
    </row>
    <row r="186" customFormat="false" ht="15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6" t="str">
        <f aca="false">IF(F186="","",IF(AND(F186&gt;=4,G186&gt;=4,H186&gt;=4,I186&gt;=4),"Proficient",IF(AND(F186&lt;=2,G186&lt;=2,H186&lt;=2,I186&lt;=2),"Emerging","Progressing")))</f>
        <v/>
      </c>
      <c r="K186" s="6" t="str">
        <f aca="false">IF(F186="","",IF(J186="Proficient","Yes","No"))</f>
        <v/>
      </c>
      <c r="L186" s="6" t="str">
        <f aca="false">IF(F186="","",INDEX({"Listening","Speaking","Reading","Writing"},MATCH(MIN(F186:I186),F186:I186,0)))</f>
        <v/>
      </c>
      <c r="M186" s="17"/>
      <c r="N186" s="6" t="str">
        <f aca="false">IF(OR(F186="",M186=""),"",ROUND(AVERAGE(F186:I186)-M186,1))</f>
        <v/>
      </c>
      <c r="O186" s="17"/>
      <c r="P186" s="17"/>
      <c r="Q186" s="17"/>
    </row>
    <row r="187" customFormat="false" ht="15" hidden="false" customHeight="tru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6" t="str">
        <f aca="false">IF(F187="","",IF(AND(F187&gt;=4,G187&gt;=4,H187&gt;=4,I187&gt;=4),"Proficient",IF(AND(F187&lt;=2,G187&lt;=2,H187&lt;=2,I187&lt;=2),"Emerging","Progressing")))</f>
        <v/>
      </c>
      <c r="K187" s="6" t="str">
        <f aca="false">IF(F187="","",IF(J187="Proficient","Yes","No"))</f>
        <v/>
      </c>
      <c r="L187" s="6" t="str">
        <f aca="false">IF(F187="","",INDEX({"Listening","Speaking","Reading","Writing"},MATCH(MIN(F187:I187),F187:I187,0)))</f>
        <v/>
      </c>
      <c r="M187" s="17"/>
      <c r="N187" s="6" t="str">
        <f aca="false">IF(OR(F187="",M187=""),"",ROUND(AVERAGE(F187:I187)-M187,1))</f>
        <v/>
      </c>
      <c r="O187" s="17"/>
      <c r="P187" s="17"/>
      <c r="Q187" s="17"/>
    </row>
    <row r="188" customFormat="false" ht="15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6" t="str">
        <f aca="false">IF(F188="","",IF(AND(F188&gt;=4,G188&gt;=4,H188&gt;=4,I188&gt;=4),"Proficient",IF(AND(F188&lt;=2,G188&lt;=2,H188&lt;=2,I188&lt;=2),"Emerging","Progressing")))</f>
        <v/>
      </c>
      <c r="K188" s="6" t="str">
        <f aca="false">IF(F188="","",IF(J188="Proficient","Yes","No"))</f>
        <v/>
      </c>
      <c r="L188" s="6" t="str">
        <f aca="false">IF(F188="","",INDEX({"Listening","Speaking","Reading","Writing"},MATCH(MIN(F188:I188),F188:I188,0)))</f>
        <v/>
      </c>
      <c r="M188" s="17"/>
      <c r="N188" s="6" t="str">
        <f aca="false">IF(OR(F188="",M188=""),"",ROUND(AVERAGE(F188:I188)-M188,1))</f>
        <v/>
      </c>
      <c r="O188" s="17"/>
      <c r="P188" s="17"/>
      <c r="Q188" s="17"/>
    </row>
    <row r="189" customFormat="false" ht="15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6" t="str">
        <f aca="false">IF(F189="","",IF(AND(F189&gt;=4,G189&gt;=4,H189&gt;=4,I189&gt;=4),"Proficient",IF(AND(F189&lt;=2,G189&lt;=2,H189&lt;=2,I189&lt;=2),"Emerging","Progressing")))</f>
        <v/>
      </c>
      <c r="K189" s="6" t="str">
        <f aca="false">IF(F189="","",IF(J189="Proficient","Yes","No"))</f>
        <v/>
      </c>
      <c r="L189" s="6" t="str">
        <f aca="false">IF(F189="","",INDEX({"Listening","Speaking","Reading","Writing"},MATCH(MIN(F189:I189),F189:I189,0)))</f>
        <v/>
      </c>
      <c r="M189" s="17"/>
      <c r="N189" s="6" t="str">
        <f aca="false">IF(OR(F189="",M189=""),"",ROUND(AVERAGE(F189:I189)-M189,1))</f>
        <v/>
      </c>
      <c r="O189" s="17"/>
      <c r="P189" s="17"/>
      <c r="Q189" s="17"/>
    </row>
    <row r="190" customFormat="false" ht="15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6" t="str">
        <f aca="false">IF(F190="","",IF(AND(F190&gt;=4,G190&gt;=4,H190&gt;=4,I190&gt;=4),"Proficient",IF(AND(F190&lt;=2,G190&lt;=2,H190&lt;=2,I190&lt;=2),"Emerging","Progressing")))</f>
        <v/>
      </c>
      <c r="K190" s="6" t="str">
        <f aca="false">IF(F190="","",IF(J190="Proficient","Yes","No"))</f>
        <v/>
      </c>
      <c r="L190" s="6" t="str">
        <f aca="false">IF(F190="","",INDEX({"Listening","Speaking","Reading","Writing"},MATCH(MIN(F190:I190),F190:I190,0)))</f>
        <v/>
      </c>
      <c r="M190" s="17"/>
      <c r="N190" s="6" t="str">
        <f aca="false">IF(OR(F190="",M190=""),"",ROUND(AVERAGE(F190:I190)-M190,1))</f>
        <v/>
      </c>
      <c r="O190" s="17"/>
      <c r="P190" s="17"/>
      <c r="Q190" s="17"/>
    </row>
    <row r="191" customFormat="false" ht="15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6" t="str">
        <f aca="false">IF(F191="","",IF(AND(F191&gt;=4,G191&gt;=4,H191&gt;=4,I191&gt;=4),"Proficient",IF(AND(F191&lt;=2,G191&lt;=2,H191&lt;=2,I191&lt;=2),"Emerging","Progressing")))</f>
        <v/>
      </c>
      <c r="K191" s="6" t="str">
        <f aca="false">IF(F191="","",IF(J191="Proficient","Yes","No"))</f>
        <v/>
      </c>
      <c r="L191" s="6" t="str">
        <f aca="false">IF(F191="","",INDEX({"Listening","Speaking","Reading","Writing"},MATCH(MIN(F191:I191),F191:I191,0)))</f>
        <v/>
      </c>
      <c r="M191" s="17"/>
      <c r="N191" s="6" t="str">
        <f aca="false">IF(OR(F191="",M191=""),"",ROUND(AVERAGE(F191:I191)-M191,1))</f>
        <v/>
      </c>
      <c r="O191" s="17"/>
      <c r="P191" s="17"/>
      <c r="Q191" s="17"/>
    </row>
    <row r="192" customFormat="false" ht="15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6" t="str">
        <f aca="false">IF(F192="","",IF(AND(F192&gt;=4,G192&gt;=4,H192&gt;=4,I192&gt;=4),"Proficient",IF(AND(F192&lt;=2,G192&lt;=2,H192&lt;=2,I192&lt;=2),"Emerging","Progressing")))</f>
        <v/>
      </c>
      <c r="K192" s="6" t="str">
        <f aca="false">IF(F192="","",IF(J192="Proficient","Yes","No"))</f>
        <v/>
      </c>
      <c r="L192" s="6" t="str">
        <f aca="false">IF(F192="","",INDEX({"Listening","Speaking","Reading","Writing"},MATCH(MIN(F192:I192),F192:I192,0)))</f>
        <v/>
      </c>
      <c r="M192" s="17"/>
      <c r="N192" s="6" t="str">
        <f aca="false">IF(OR(F192="",M192=""),"",ROUND(AVERAGE(F192:I192)-M192,1))</f>
        <v/>
      </c>
      <c r="O192" s="17"/>
      <c r="P192" s="17"/>
      <c r="Q192" s="17"/>
    </row>
    <row r="193" customFormat="false" ht="15" hidden="false" customHeight="tru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6" t="str">
        <f aca="false">IF(F193="","",IF(AND(F193&gt;=4,G193&gt;=4,H193&gt;=4,I193&gt;=4),"Proficient",IF(AND(F193&lt;=2,G193&lt;=2,H193&lt;=2,I193&lt;=2),"Emerging","Progressing")))</f>
        <v/>
      </c>
      <c r="K193" s="6" t="str">
        <f aca="false">IF(F193="","",IF(J193="Proficient","Yes","No"))</f>
        <v/>
      </c>
      <c r="L193" s="6" t="str">
        <f aca="false">IF(F193="","",INDEX({"Listening","Speaking","Reading","Writing"},MATCH(MIN(F193:I193),F193:I193,0)))</f>
        <v/>
      </c>
      <c r="M193" s="17"/>
      <c r="N193" s="6" t="str">
        <f aca="false">IF(OR(F193="",M193=""),"",ROUND(AVERAGE(F193:I193)-M193,1))</f>
        <v/>
      </c>
      <c r="O193" s="17"/>
      <c r="P193" s="17"/>
      <c r="Q193" s="17"/>
    </row>
    <row r="194" customFormat="false" ht="15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6" t="str">
        <f aca="false">IF(F194="","",IF(AND(F194&gt;=4,G194&gt;=4,H194&gt;=4,I194&gt;=4),"Proficient",IF(AND(F194&lt;=2,G194&lt;=2,H194&lt;=2,I194&lt;=2),"Emerging","Progressing")))</f>
        <v/>
      </c>
      <c r="K194" s="6" t="str">
        <f aca="false">IF(F194="","",IF(J194="Proficient","Yes","No"))</f>
        <v/>
      </c>
      <c r="L194" s="6" t="str">
        <f aca="false">IF(F194="","",INDEX({"Listening","Speaking","Reading","Writing"},MATCH(MIN(F194:I194),F194:I194,0)))</f>
        <v/>
      </c>
      <c r="M194" s="17"/>
      <c r="N194" s="6" t="str">
        <f aca="false">IF(OR(F194="",M194=""),"",ROUND(AVERAGE(F194:I194)-M194,1))</f>
        <v/>
      </c>
      <c r="O194" s="17"/>
      <c r="P194" s="17"/>
      <c r="Q194" s="17"/>
    </row>
    <row r="195" customFormat="false" ht="15" hidden="false" customHeight="tru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6" t="str">
        <f aca="false">IF(F195="","",IF(AND(F195&gt;=4,G195&gt;=4,H195&gt;=4,I195&gt;=4),"Proficient",IF(AND(F195&lt;=2,G195&lt;=2,H195&lt;=2,I195&lt;=2),"Emerging","Progressing")))</f>
        <v/>
      </c>
      <c r="K195" s="6" t="str">
        <f aca="false">IF(F195="","",IF(J195="Proficient","Yes","No"))</f>
        <v/>
      </c>
      <c r="L195" s="6" t="str">
        <f aca="false">IF(F195="","",INDEX({"Listening","Speaking","Reading","Writing"},MATCH(MIN(F195:I195),F195:I195,0)))</f>
        <v/>
      </c>
      <c r="M195" s="17"/>
      <c r="N195" s="6" t="str">
        <f aca="false">IF(OR(F195="",M195=""),"",ROUND(AVERAGE(F195:I195)-M195,1))</f>
        <v/>
      </c>
      <c r="O195" s="17"/>
      <c r="P195" s="17"/>
      <c r="Q195" s="17"/>
    </row>
    <row r="196" customFormat="false" ht="15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6" t="str">
        <f aca="false">IF(F196="","",IF(AND(F196&gt;=4,G196&gt;=4,H196&gt;=4,I196&gt;=4),"Proficient",IF(AND(F196&lt;=2,G196&lt;=2,H196&lt;=2,I196&lt;=2),"Emerging","Progressing")))</f>
        <v/>
      </c>
      <c r="K196" s="6" t="str">
        <f aca="false">IF(F196="","",IF(J196="Proficient","Yes","No"))</f>
        <v/>
      </c>
      <c r="L196" s="6" t="str">
        <f aca="false">IF(F196="","",INDEX({"Listening","Speaking","Reading","Writing"},MATCH(MIN(F196:I196),F196:I196,0)))</f>
        <v/>
      </c>
      <c r="M196" s="17"/>
      <c r="N196" s="6" t="str">
        <f aca="false">IF(OR(F196="",M196=""),"",ROUND(AVERAGE(F196:I196)-M196,1))</f>
        <v/>
      </c>
      <c r="O196" s="17"/>
      <c r="P196" s="17"/>
      <c r="Q196" s="17"/>
    </row>
    <row r="197" customFormat="false" ht="15" hidden="false" customHeight="tru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6" t="str">
        <f aca="false">IF(F197="","",IF(AND(F197&gt;=4,G197&gt;=4,H197&gt;=4,I197&gt;=4),"Proficient",IF(AND(F197&lt;=2,G197&lt;=2,H197&lt;=2,I197&lt;=2),"Emerging","Progressing")))</f>
        <v/>
      </c>
      <c r="K197" s="6" t="str">
        <f aca="false">IF(F197="","",IF(J197="Proficient","Yes","No"))</f>
        <v/>
      </c>
      <c r="L197" s="6" t="str">
        <f aca="false">IF(F197="","",INDEX({"Listening","Speaking","Reading","Writing"},MATCH(MIN(F197:I197),F197:I197,0)))</f>
        <v/>
      </c>
      <c r="M197" s="17"/>
      <c r="N197" s="6" t="str">
        <f aca="false">IF(OR(F197="",M197=""),"",ROUND(AVERAGE(F197:I197)-M197,1))</f>
        <v/>
      </c>
      <c r="O197" s="17"/>
      <c r="P197" s="17"/>
      <c r="Q197" s="17"/>
    </row>
    <row r="198" customFormat="false" ht="15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6" t="str">
        <f aca="false">IF(F198="","",IF(AND(F198&gt;=4,G198&gt;=4,H198&gt;=4,I198&gt;=4),"Proficient",IF(AND(F198&lt;=2,G198&lt;=2,H198&lt;=2,I198&lt;=2),"Emerging","Progressing")))</f>
        <v/>
      </c>
      <c r="K198" s="6" t="str">
        <f aca="false">IF(F198="","",IF(J198="Proficient","Yes","No"))</f>
        <v/>
      </c>
      <c r="L198" s="6" t="str">
        <f aca="false">IF(F198="","",INDEX({"Listening","Speaking","Reading","Writing"},MATCH(MIN(F198:I198),F198:I198,0)))</f>
        <v/>
      </c>
      <c r="M198" s="17"/>
      <c r="N198" s="6" t="str">
        <f aca="false">IF(OR(F198="",M198=""),"",ROUND(AVERAGE(F198:I198)-M198,1))</f>
        <v/>
      </c>
      <c r="O198" s="17"/>
      <c r="P198" s="17"/>
      <c r="Q198" s="17"/>
    </row>
    <row r="199" customFormat="false" ht="15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6" t="str">
        <f aca="false">IF(F199="","",IF(AND(F199&gt;=4,G199&gt;=4,H199&gt;=4,I199&gt;=4),"Proficient",IF(AND(F199&lt;=2,G199&lt;=2,H199&lt;=2,I199&lt;=2),"Emerging","Progressing")))</f>
        <v/>
      </c>
      <c r="K199" s="6" t="str">
        <f aca="false">IF(F199="","",IF(J199="Proficient","Yes","No"))</f>
        <v/>
      </c>
      <c r="L199" s="6" t="str">
        <f aca="false">IF(F199="","",INDEX({"Listening","Speaking","Reading","Writing"},MATCH(MIN(F199:I199),F199:I199,0)))</f>
        <v/>
      </c>
      <c r="M199" s="17"/>
      <c r="N199" s="6" t="str">
        <f aca="false">IF(OR(F199="",M199=""),"",ROUND(AVERAGE(F199:I199)-M199,1))</f>
        <v/>
      </c>
      <c r="O199" s="17"/>
      <c r="P199" s="17"/>
      <c r="Q199" s="17"/>
    </row>
    <row r="200" customFormat="false" ht="15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6" t="str">
        <f aca="false">IF(F200="","",IF(AND(F200&gt;=4,G200&gt;=4,H200&gt;=4,I200&gt;=4),"Proficient",IF(AND(F200&lt;=2,G200&lt;=2,H200&lt;=2,I200&lt;=2),"Emerging","Progressing")))</f>
        <v/>
      </c>
      <c r="K200" s="6" t="str">
        <f aca="false">IF(F200="","",IF(J200="Proficient","Yes","No"))</f>
        <v/>
      </c>
      <c r="L200" s="6" t="str">
        <f aca="false">IF(F200="","",INDEX({"Listening","Speaking","Reading","Writing"},MATCH(MIN(F200:I200),F200:I200,0)))</f>
        <v/>
      </c>
      <c r="M200" s="17"/>
      <c r="N200" s="6" t="str">
        <f aca="false">IF(OR(F200="",M200=""),"",ROUND(AVERAGE(F200:I200)-M200,1))</f>
        <v/>
      </c>
      <c r="O200" s="17"/>
      <c r="P200" s="17"/>
      <c r="Q200" s="17"/>
    </row>
    <row r="201" customFormat="false" ht="15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6" t="str">
        <f aca="false">IF(F201="","",IF(AND(F201&gt;=4,G201&gt;=4,H201&gt;=4,I201&gt;=4),"Proficient",IF(AND(F201&lt;=2,G201&lt;=2,H201&lt;=2,I201&lt;=2),"Emerging","Progressing")))</f>
        <v/>
      </c>
      <c r="K201" s="6" t="str">
        <f aca="false">IF(F201="","",IF(J201="Proficient","Yes","No"))</f>
        <v/>
      </c>
      <c r="L201" s="6" t="str">
        <f aca="false">IF(F201="","",INDEX({"Listening","Speaking","Reading","Writing"},MATCH(MIN(F201:I201),F201:I201,0)))</f>
        <v/>
      </c>
      <c r="M201" s="17"/>
      <c r="N201" s="6" t="str">
        <f aca="false">IF(OR(F201="",M201=""),"",ROUND(AVERAGE(F201:I201)-M201,1))</f>
        <v/>
      </c>
      <c r="O201" s="17"/>
      <c r="P201" s="17"/>
      <c r="Q201" s="17"/>
    </row>
    <row r="202" customFormat="false" ht="15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6" t="str">
        <f aca="false">IF(F202="","",IF(AND(F202&gt;=4,G202&gt;=4,H202&gt;=4,I202&gt;=4),"Proficient",IF(AND(F202&lt;=2,G202&lt;=2,H202&lt;=2,I202&lt;=2),"Emerging","Progressing")))</f>
        <v/>
      </c>
      <c r="K202" s="6" t="str">
        <f aca="false">IF(F202="","",IF(J202="Proficient","Yes","No"))</f>
        <v/>
      </c>
      <c r="L202" s="6" t="str">
        <f aca="false">IF(F202="","",INDEX({"Listening","Speaking","Reading","Writing"},MATCH(MIN(F202:I202),F202:I202,0)))</f>
        <v/>
      </c>
      <c r="M202" s="17"/>
      <c r="N202" s="6" t="str">
        <f aca="false">IF(OR(F202="",M202=""),"",ROUND(AVERAGE(F202:I202)-M202,1))</f>
        <v/>
      </c>
      <c r="O202" s="17"/>
      <c r="P202" s="17"/>
      <c r="Q202" s="17"/>
    </row>
    <row r="203" customFormat="false" ht="15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6" t="str">
        <f aca="false">IF(F203="","",IF(AND(F203&gt;=4,G203&gt;=4,H203&gt;=4,I203&gt;=4),"Proficient",IF(AND(F203&lt;=2,G203&lt;=2,H203&lt;=2,I203&lt;=2),"Emerging","Progressing")))</f>
        <v/>
      </c>
      <c r="K203" s="6" t="str">
        <f aca="false">IF(F203="","",IF(J203="Proficient","Yes","No"))</f>
        <v/>
      </c>
      <c r="L203" s="6" t="str">
        <f aca="false">IF(F203="","",INDEX({"Listening","Speaking","Reading","Writing"},MATCH(MIN(F203:I203),F203:I203,0)))</f>
        <v/>
      </c>
      <c r="M203" s="17"/>
      <c r="N203" s="6" t="str">
        <f aca="false">IF(OR(F203="",M203=""),"",ROUND(AVERAGE(F203:I203)-M203,1))</f>
        <v/>
      </c>
      <c r="O203" s="17"/>
      <c r="P203" s="17"/>
      <c r="Q203" s="17"/>
    </row>
    <row r="204" customFormat="false" ht="15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6" t="str">
        <f aca="false">IF(F204="","",IF(AND(F204&gt;=4,G204&gt;=4,H204&gt;=4,I204&gt;=4),"Proficient",IF(AND(F204&lt;=2,G204&lt;=2,H204&lt;=2,I204&lt;=2),"Emerging","Progressing")))</f>
        <v/>
      </c>
      <c r="K204" s="6" t="str">
        <f aca="false">IF(F204="","",IF(J204="Proficient","Yes","No"))</f>
        <v/>
      </c>
      <c r="L204" s="6" t="str">
        <f aca="false">IF(F204="","",INDEX({"Listening","Speaking","Reading","Writing"},MATCH(MIN(F204:I204),F204:I204,0)))</f>
        <v/>
      </c>
      <c r="M204" s="17"/>
      <c r="N204" s="6" t="str">
        <f aca="false">IF(OR(F204="",M204=""),"",ROUND(AVERAGE(F204:I204)-M204,1))</f>
        <v/>
      </c>
      <c r="O204" s="17"/>
      <c r="P204" s="17"/>
      <c r="Q204" s="17"/>
    </row>
    <row r="205" customFormat="false" ht="15" hidden="false" customHeight="tru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6" t="str">
        <f aca="false">IF(F205="","",IF(AND(F205&gt;=4,G205&gt;=4,H205&gt;=4,I205&gt;=4),"Proficient",IF(AND(F205&lt;=2,G205&lt;=2,H205&lt;=2,I205&lt;=2),"Emerging","Progressing")))</f>
        <v/>
      </c>
      <c r="K205" s="6" t="str">
        <f aca="false">IF(F205="","",IF(J205="Proficient","Yes","No"))</f>
        <v/>
      </c>
      <c r="L205" s="6" t="str">
        <f aca="false">IF(F205="","",INDEX({"Listening","Speaking","Reading","Writing"},MATCH(MIN(F205:I205),F205:I205,0)))</f>
        <v/>
      </c>
      <c r="M205" s="17"/>
      <c r="N205" s="6" t="str">
        <f aca="false">IF(OR(F205="",M205=""),"",ROUND(AVERAGE(F205:I205)-M205,1))</f>
        <v/>
      </c>
      <c r="O205" s="17"/>
      <c r="P205" s="17"/>
      <c r="Q205" s="17"/>
    </row>
    <row r="206" customFormat="false" ht="15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6" t="str">
        <f aca="false">IF(F206="","",IF(AND(F206&gt;=4,G206&gt;=4,H206&gt;=4,I206&gt;=4),"Proficient",IF(AND(F206&lt;=2,G206&lt;=2,H206&lt;=2,I206&lt;=2),"Emerging","Progressing")))</f>
        <v/>
      </c>
      <c r="K206" s="6" t="str">
        <f aca="false">IF(F206="","",IF(J206="Proficient","Yes","No"))</f>
        <v/>
      </c>
      <c r="L206" s="6" t="str">
        <f aca="false">IF(F206="","",INDEX({"Listening","Speaking","Reading","Writing"},MATCH(MIN(F206:I206),F206:I206,0)))</f>
        <v/>
      </c>
      <c r="M206" s="17"/>
      <c r="N206" s="6" t="str">
        <f aca="false">IF(OR(F206="",M206=""),"",ROUND(AVERAGE(F206:I206)-M206,1))</f>
        <v/>
      </c>
      <c r="O206" s="17"/>
      <c r="P206" s="17"/>
      <c r="Q206" s="17"/>
    </row>
    <row r="207" customFormat="false" ht="15" hidden="false" customHeight="tru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6" t="str">
        <f aca="false">IF(F207="","",IF(AND(F207&gt;=4,G207&gt;=4,H207&gt;=4,I207&gt;=4),"Proficient",IF(AND(F207&lt;=2,G207&lt;=2,H207&lt;=2,I207&lt;=2),"Emerging","Progressing")))</f>
        <v/>
      </c>
      <c r="K207" s="6" t="str">
        <f aca="false">IF(F207="","",IF(J207="Proficient","Yes","No"))</f>
        <v/>
      </c>
      <c r="L207" s="6" t="str">
        <f aca="false">IF(F207="","",INDEX({"Listening","Speaking","Reading","Writing"},MATCH(MIN(F207:I207),F207:I207,0)))</f>
        <v/>
      </c>
      <c r="M207" s="17"/>
      <c r="N207" s="6" t="str">
        <f aca="false">IF(OR(F207="",M207=""),"",ROUND(AVERAGE(F207:I207)-M207,1))</f>
        <v/>
      </c>
      <c r="O207" s="17"/>
      <c r="P207" s="17"/>
      <c r="Q207" s="17"/>
    </row>
    <row r="208" customFormat="false" ht="15" hidden="false" customHeight="tru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6" t="str">
        <f aca="false">IF(F208="","",IF(AND(F208&gt;=4,G208&gt;=4,H208&gt;=4,I208&gt;=4),"Proficient",IF(AND(F208&lt;=2,G208&lt;=2,H208&lt;=2,I208&lt;=2),"Emerging","Progressing")))</f>
        <v/>
      </c>
      <c r="K208" s="6" t="str">
        <f aca="false">IF(F208="","",IF(J208="Proficient","Yes","No"))</f>
        <v/>
      </c>
      <c r="L208" s="6" t="str">
        <f aca="false">IF(F208="","",INDEX({"Listening","Speaking","Reading","Writing"},MATCH(MIN(F208:I208),F208:I208,0)))</f>
        <v/>
      </c>
      <c r="M208" s="17"/>
      <c r="N208" s="6" t="str">
        <f aca="false">IF(OR(F208="",M208=""),"",ROUND(AVERAGE(F208:I208)-M208,1))</f>
        <v/>
      </c>
      <c r="O208" s="17"/>
      <c r="P208" s="17"/>
      <c r="Q208" s="17"/>
    </row>
    <row r="209" customFormat="false" ht="15" hidden="false" customHeight="tru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6" t="str">
        <f aca="false">IF(F209="","",IF(AND(F209&gt;=4,G209&gt;=4,H209&gt;=4,I209&gt;=4),"Proficient",IF(AND(F209&lt;=2,G209&lt;=2,H209&lt;=2,I209&lt;=2),"Emerging","Progressing")))</f>
        <v/>
      </c>
      <c r="K209" s="6" t="str">
        <f aca="false">IF(F209="","",IF(J209="Proficient","Yes","No"))</f>
        <v/>
      </c>
      <c r="L209" s="6" t="str">
        <f aca="false">IF(F209="","",INDEX({"Listening","Speaking","Reading","Writing"},MATCH(MIN(F209:I209),F209:I209,0)))</f>
        <v/>
      </c>
      <c r="M209" s="17"/>
      <c r="N209" s="6" t="str">
        <f aca="false">IF(OR(F209="",M209=""),"",ROUND(AVERAGE(F209:I209)-M209,1))</f>
        <v/>
      </c>
      <c r="O209" s="17"/>
      <c r="P209" s="17"/>
      <c r="Q209" s="17"/>
    </row>
    <row r="210" customFormat="false" ht="15" hidden="false" customHeight="tru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6" t="str">
        <f aca="false">IF(F210="","",IF(AND(F210&gt;=4,G210&gt;=4,H210&gt;=4,I210&gt;=4),"Proficient",IF(AND(F210&lt;=2,G210&lt;=2,H210&lt;=2,I210&lt;=2),"Emerging","Progressing")))</f>
        <v/>
      </c>
      <c r="K210" s="6" t="str">
        <f aca="false">IF(F210="","",IF(J210="Proficient","Yes","No"))</f>
        <v/>
      </c>
      <c r="L210" s="6" t="str">
        <f aca="false">IF(F210="","",INDEX({"Listening","Speaking","Reading","Writing"},MATCH(MIN(F210:I210),F210:I210,0)))</f>
        <v/>
      </c>
      <c r="M210" s="17"/>
      <c r="N210" s="6" t="str">
        <f aca="false">IF(OR(F210="",M210=""),"",ROUND(AVERAGE(F210:I210)-M210,1))</f>
        <v/>
      </c>
      <c r="O210" s="17"/>
      <c r="P210" s="17"/>
      <c r="Q210" s="17"/>
    </row>
    <row r="211" customFormat="false" ht="15" hidden="false" customHeight="tru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6" t="str">
        <f aca="false">IF(F211="","",IF(AND(F211&gt;=4,G211&gt;=4,H211&gt;=4,I211&gt;=4),"Proficient",IF(AND(F211&lt;=2,G211&lt;=2,H211&lt;=2,I211&lt;=2),"Emerging","Progressing")))</f>
        <v/>
      </c>
      <c r="K211" s="6" t="str">
        <f aca="false">IF(F211="","",IF(J211="Proficient","Yes","No"))</f>
        <v/>
      </c>
      <c r="L211" s="6" t="str">
        <f aca="false">IF(F211="","",INDEX({"Listening","Speaking","Reading","Writing"},MATCH(MIN(F211:I211),F211:I211,0)))</f>
        <v/>
      </c>
      <c r="M211" s="17"/>
      <c r="N211" s="6" t="str">
        <f aca="false">IF(OR(F211="",M211=""),"",ROUND(AVERAGE(F211:I211)-M211,1))</f>
        <v/>
      </c>
      <c r="O211" s="17"/>
      <c r="P211" s="17"/>
      <c r="Q211" s="17"/>
    </row>
    <row r="212" customFormat="false" ht="15" hidden="false" customHeight="tru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6" t="str">
        <f aca="false">IF(F212="","",IF(AND(F212&gt;=4,G212&gt;=4,H212&gt;=4,I212&gt;=4),"Proficient",IF(AND(F212&lt;=2,G212&lt;=2,H212&lt;=2,I212&lt;=2),"Emerging","Progressing")))</f>
        <v/>
      </c>
      <c r="K212" s="6" t="str">
        <f aca="false">IF(F212="","",IF(J212="Proficient","Yes","No"))</f>
        <v/>
      </c>
      <c r="L212" s="6" t="str">
        <f aca="false">IF(F212="","",INDEX({"Listening","Speaking","Reading","Writing"},MATCH(MIN(F212:I212),F212:I212,0)))</f>
        <v/>
      </c>
      <c r="M212" s="17"/>
      <c r="N212" s="6" t="str">
        <f aca="false">IF(OR(F212="",M212=""),"",ROUND(AVERAGE(F212:I212)-M212,1))</f>
        <v/>
      </c>
      <c r="O212" s="17"/>
      <c r="P212" s="17"/>
      <c r="Q212" s="17"/>
    </row>
    <row r="213" customFormat="false" ht="15" hidden="false" customHeight="tru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6" t="str">
        <f aca="false">IF(F213="","",IF(AND(F213&gt;=4,G213&gt;=4,H213&gt;=4,I213&gt;=4),"Proficient",IF(AND(F213&lt;=2,G213&lt;=2,H213&lt;=2,I213&lt;=2),"Emerging","Progressing")))</f>
        <v/>
      </c>
      <c r="K213" s="6" t="str">
        <f aca="false">IF(F213="","",IF(J213="Proficient","Yes","No"))</f>
        <v/>
      </c>
      <c r="L213" s="6" t="str">
        <f aca="false">IF(F213="","",INDEX({"Listening","Speaking","Reading","Writing"},MATCH(MIN(F213:I213),F213:I213,0)))</f>
        <v/>
      </c>
      <c r="M213" s="17"/>
      <c r="N213" s="6" t="str">
        <f aca="false">IF(OR(F213="",M213=""),"",ROUND(AVERAGE(F213:I213)-M213,1))</f>
        <v/>
      </c>
      <c r="O213" s="17"/>
      <c r="P213" s="17"/>
      <c r="Q213" s="17"/>
    </row>
    <row r="214" customFormat="false" ht="15" hidden="false" customHeight="tru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6" t="str">
        <f aca="false">IF(F214="","",IF(AND(F214&gt;=4,G214&gt;=4,H214&gt;=4,I214&gt;=4),"Proficient",IF(AND(F214&lt;=2,G214&lt;=2,H214&lt;=2,I214&lt;=2),"Emerging","Progressing")))</f>
        <v/>
      </c>
      <c r="K214" s="6" t="str">
        <f aca="false">IF(F214="","",IF(J214="Proficient","Yes","No"))</f>
        <v/>
      </c>
      <c r="L214" s="6" t="str">
        <f aca="false">IF(F214="","",INDEX({"Listening","Speaking","Reading","Writing"},MATCH(MIN(F214:I214),F214:I214,0)))</f>
        <v/>
      </c>
      <c r="M214" s="17"/>
      <c r="N214" s="6" t="str">
        <f aca="false">IF(OR(F214="",M214=""),"",ROUND(AVERAGE(F214:I214)-M214,1))</f>
        <v/>
      </c>
      <c r="O214" s="17"/>
      <c r="P214" s="17"/>
      <c r="Q214" s="17"/>
    </row>
    <row r="215" customFormat="false" ht="15" hidden="false" customHeight="tru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6" t="str">
        <f aca="false">IF(F215="","",IF(AND(F215&gt;=4,G215&gt;=4,H215&gt;=4,I215&gt;=4),"Proficient",IF(AND(F215&lt;=2,G215&lt;=2,H215&lt;=2,I215&lt;=2),"Emerging","Progressing")))</f>
        <v/>
      </c>
      <c r="K215" s="6" t="str">
        <f aca="false">IF(F215="","",IF(J215="Proficient","Yes","No"))</f>
        <v/>
      </c>
      <c r="L215" s="6" t="str">
        <f aca="false">IF(F215="","",INDEX({"Listening","Speaking","Reading","Writing"},MATCH(MIN(F215:I215),F215:I215,0)))</f>
        <v/>
      </c>
      <c r="M215" s="17"/>
      <c r="N215" s="6" t="str">
        <f aca="false">IF(OR(F215="",M215=""),"",ROUND(AVERAGE(F215:I215)-M215,1))</f>
        <v/>
      </c>
      <c r="O215" s="17"/>
      <c r="P215" s="17"/>
      <c r="Q215" s="17"/>
    </row>
    <row r="216" customFormat="false" ht="15" hidden="false" customHeight="tru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6" t="str">
        <f aca="false">IF(F216="","",IF(AND(F216&gt;=4,G216&gt;=4,H216&gt;=4,I216&gt;=4),"Proficient",IF(AND(F216&lt;=2,G216&lt;=2,H216&lt;=2,I216&lt;=2),"Emerging","Progressing")))</f>
        <v/>
      </c>
      <c r="K216" s="6" t="str">
        <f aca="false">IF(F216="","",IF(J216="Proficient","Yes","No"))</f>
        <v/>
      </c>
      <c r="L216" s="6" t="str">
        <f aca="false">IF(F216="","",INDEX({"Listening","Speaking","Reading","Writing"},MATCH(MIN(F216:I216),F216:I216,0)))</f>
        <v/>
      </c>
      <c r="M216" s="17"/>
      <c r="N216" s="6" t="str">
        <f aca="false">IF(OR(F216="",M216=""),"",ROUND(AVERAGE(F216:I216)-M216,1))</f>
        <v/>
      </c>
      <c r="O216" s="17"/>
      <c r="P216" s="17"/>
      <c r="Q216" s="17"/>
    </row>
    <row r="217" customFormat="false" ht="15" hidden="false" customHeight="tru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6" t="str">
        <f aca="false">IF(F217="","",IF(AND(F217&gt;=4,G217&gt;=4,H217&gt;=4,I217&gt;=4),"Proficient",IF(AND(F217&lt;=2,G217&lt;=2,H217&lt;=2,I217&lt;=2),"Emerging","Progressing")))</f>
        <v/>
      </c>
      <c r="K217" s="6" t="str">
        <f aca="false">IF(F217="","",IF(J217="Proficient","Yes","No"))</f>
        <v/>
      </c>
      <c r="L217" s="6" t="str">
        <f aca="false">IF(F217="","",INDEX({"Listening","Speaking","Reading","Writing"},MATCH(MIN(F217:I217),F217:I217,0)))</f>
        <v/>
      </c>
      <c r="M217" s="17"/>
      <c r="N217" s="6" t="str">
        <f aca="false">IF(OR(F217="",M217=""),"",ROUND(AVERAGE(F217:I217)-M217,1))</f>
        <v/>
      </c>
      <c r="O217" s="17"/>
      <c r="P217" s="17"/>
      <c r="Q217" s="17"/>
    </row>
    <row r="218" customFormat="false" ht="15" hidden="false" customHeight="tru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6" t="str">
        <f aca="false">IF(F218="","",IF(AND(F218&gt;=4,G218&gt;=4,H218&gt;=4,I218&gt;=4),"Proficient",IF(AND(F218&lt;=2,G218&lt;=2,H218&lt;=2,I218&lt;=2),"Emerging","Progressing")))</f>
        <v/>
      </c>
      <c r="K218" s="6" t="str">
        <f aca="false">IF(F218="","",IF(J218="Proficient","Yes","No"))</f>
        <v/>
      </c>
      <c r="L218" s="6" t="str">
        <f aca="false">IF(F218="","",INDEX({"Listening","Speaking","Reading","Writing"},MATCH(MIN(F218:I218),F218:I218,0)))</f>
        <v/>
      </c>
      <c r="M218" s="17"/>
      <c r="N218" s="6" t="str">
        <f aca="false">IF(OR(F218="",M218=""),"",ROUND(AVERAGE(F218:I218)-M218,1))</f>
        <v/>
      </c>
      <c r="O218" s="17"/>
      <c r="P218" s="17"/>
      <c r="Q218" s="17"/>
    </row>
    <row r="219" customFormat="false" ht="15" hidden="false" customHeight="tru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6" t="str">
        <f aca="false">IF(F219="","",IF(AND(F219&gt;=4,G219&gt;=4,H219&gt;=4,I219&gt;=4),"Proficient",IF(AND(F219&lt;=2,G219&lt;=2,H219&lt;=2,I219&lt;=2),"Emerging","Progressing")))</f>
        <v/>
      </c>
      <c r="K219" s="6" t="str">
        <f aca="false">IF(F219="","",IF(J219="Proficient","Yes","No"))</f>
        <v/>
      </c>
      <c r="L219" s="6" t="str">
        <f aca="false">IF(F219="","",INDEX({"Listening","Speaking","Reading","Writing"},MATCH(MIN(F219:I219),F219:I219,0)))</f>
        <v/>
      </c>
      <c r="M219" s="17"/>
      <c r="N219" s="6" t="str">
        <f aca="false">IF(OR(F219="",M219=""),"",ROUND(AVERAGE(F219:I219)-M219,1))</f>
        <v/>
      </c>
      <c r="O219" s="17"/>
      <c r="P219" s="17"/>
      <c r="Q219" s="17"/>
    </row>
    <row r="220" customFormat="false" ht="15" hidden="false" customHeight="tru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6" t="str">
        <f aca="false">IF(F220="","",IF(AND(F220&gt;=4,G220&gt;=4,H220&gt;=4,I220&gt;=4),"Proficient",IF(AND(F220&lt;=2,G220&lt;=2,H220&lt;=2,I220&lt;=2),"Emerging","Progressing")))</f>
        <v/>
      </c>
      <c r="K220" s="6" t="str">
        <f aca="false">IF(F220="","",IF(J220="Proficient","Yes","No"))</f>
        <v/>
      </c>
      <c r="L220" s="6" t="str">
        <f aca="false">IF(F220="","",INDEX({"Listening","Speaking","Reading","Writing"},MATCH(MIN(F220:I220),F220:I220,0)))</f>
        <v/>
      </c>
      <c r="M220" s="17"/>
      <c r="N220" s="6" t="str">
        <f aca="false">IF(OR(F220="",M220=""),"",ROUND(AVERAGE(F220:I220)-M220,1))</f>
        <v/>
      </c>
      <c r="O220" s="17"/>
      <c r="P220" s="17"/>
      <c r="Q220" s="17"/>
    </row>
    <row r="221" customFormat="false" ht="15" hidden="false" customHeight="tru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6" t="str">
        <f aca="false">IF(F221="","",IF(AND(F221&gt;=4,G221&gt;=4,H221&gt;=4,I221&gt;=4),"Proficient",IF(AND(F221&lt;=2,G221&lt;=2,H221&lt;=2,I221&lt;=2),"Emerging","Progressing")))</f>
        <v/>
      </c>
      <c r="K221" s="6" t="str">
        <f aca="false">IF(F221="","",IF(J221="Proficient","Yes","No"))</f>
        <v/>
      </c>
      <c r="L221" s="6" t="str">
        <f aca="false">IF(F221="","",INDEX({"Listening","Speaking","Reading","Writing"},MATCH(MIN(F221:I221),F221:I221,0)))</f>
        <v/>
      </c>
      <c r="M221" s="17"/>
      <c r="N221" s="6" t="str">
        <f aca="false">IF(OR(F221="",M221=""),"",ROUND(AVERAGE(F221:I221)-M221,1))</f>
        <v/>
      </c>
      <c r="O221" s="17"/>
      <c r="P221" s="17"/>
      <c r="Q221" s="17"/>
    </row>
    <row r="222" customFormat="false" ht="15" hidden="false" customHeight="tru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6" t="str">
        <f aca="false">IF(F222="","",IF(AND(F222&gt;=4,G222&gt;=4,H222&gt;=4,I222&gt;=4),"Proficient",IF(AND(F222&lt;=2,G222&lt;=2,H222&lt;=2,I222&lt;=2),"Emerging","Progressing")))</f>
        <v/>
      </c>
      <c r="K222" s="6" t="str">
        <f aca="false">IF(F222="","",IF(J222="Proficient","Yes","No"))</f>
        <v/>
      </c>
      <c r="L222" s="6" t="str">
        <f aca="false">IF(F222="","",INDEX({"Listening","Speaking","Reading","Writing"},MATCH(MIN(F222:I222),F222:I222,0)))</f>
        <v/>
      </c>
      <c r="M222" s="17"/>
      <c r="N222" s="6" t="str">
        <f aca="false">IF(OR(F222="",M222=""),"",ROUND(AVERAGE(F222:I222)-M222,1))</f>
        <v/>
      </c>
      <c r="O222" s="17"/>
      <c r="P222" s="17"/>
      <c r="Q222" s="17"/>
    </row>
    <row r="223" customFormat="false" ht="15" hidden="false" customHeight="tru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6" t="str">
        <f aca="false">IF(F223="","",IF(AND(F223&gt;=4,G223&gt;=4,H223&gt;=4,I223&gt;=4),"Proficient",IF(AND(F223&lt;=2,G223&lt;=2,H223&lt;=2,I223&lt;=2),"Emerging","Progressing")))</f>
        <v/>
      </c>
      <c r="K223" s="6" t="str">
        <f aca="false">IF(F223="","",IF(J223="Proficient","Yes","No"))</f>
        <v/>
      </c>
      <c r="L223" s="6" t="str">
        <f aca="false">IF(F223="","",INDEX({"Listening","Speaking","Reading","Writing"},MATCH(MIN(F223:I223),F223:I223,0)))</f>
        <v/>
      </c>
      <c r="M223" s="17"/>
      <c r="N223" s="6" t="str">
        <f aca="false">IF(OR(F223="",M223=""),"",ROUND(AVERAGE(F223:I223)-M223,1))</f>
        <v/>
      </c>
      <c r="O223" s="17"/>
      <c r="P223" s="17"/>
      <c r="Q223" s="17"/>
    </row>
    <row r="224" customFormat="false" ht="15" hidden="false" customHeight="tru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6" t="str">
        <f aca="false">IF(F224="","",IF(AND(F224&gt;=4,G224&gt;=4,H224&gt;=4,I224&gt;=4),"Proficient",IF(AND(F224&lt;=2,G224&lt;=2,H224&lt;=2,I224&lt;=2),"Emerging","Progressing")))</f>
        <v/>
      </c>
      <c r="K224" s="6" t="str">
        <f aca="false">IF(F224="","",IF(J224="Proficient","Yes","No"))</f>
        <v/>
      </c>
      <c r="L224" s="6" t="str">
        <f aca="false">IF(F224="","",INDEX({"Listening","Speaking","Reading","Writing"},MATCH(MIN(F224:I224),F224:I224,0)))</f>
        <v/>
      </c>
      <c r="M224" s="17"/>
      <c r="N224" s="6" t="str">
        <f aca="false">IF(OR(F224="",M224=""),"",ROUND(AVERAGE(F224:I224)-M224,1))</f>
        <v/>
      </c>
      <c r="O224" s="17"/>
      <c r="P224" s="17"/>
      <c r="Q224" s="17"/>
    </row>
    <row r="225" customFormat="false" ht="15" hidden="false" customHeight="tru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6" t="str">
        <f aca="false">IF(F225="","",IF(AND(F225&gt;=4,G225&gt;=4,H225&gt;=4,I225&gt;=4),"Proficient",IF(AND(F225&lt;=2,G225&lt;=2,H225&lt;=2,I225&lt;=2),"Emerging","Progressing")))</f>
        <v/>
      </c>
      <c r="K225" s="6" t="str">
        <f aca="false">IF(F225="","",IF(J225="Proficient","Yes","No"))</f>
        <v/>
      </c>
      <c r="L225" s="6" t="str">
        <f aca="false">IF(F225="","",INDEX({"Listening","Speaking","Reading","Writing"},MATCH(MIN(F225:I225),F225:I225,0)))</f>
        <v/>
      </c>
      <c r="M225" s="17"/>
      <c r="N225" s="6" t="str">
        <f aca="false">IF(OR(F225="",M225=""),"",ROUND(AVERAGE(F225:I225)-M225,1))</f>
        <v/>
      </c>
      <c r="O225" s="17"/>
      <c r="P225" s="17"/>
      <c r="Q225" s="17"/>
    </row>
    <row r="226" customFormat="false" ht="15" hidden="false" customHeight="tru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6" t="str">
        <f aca="false">IF(F226="","",IF(AND(F226&gt;=4,G226&gt;=4,H226&gt;=4,I226&gt;=4),"Proficient",IF(AND(F226&lt;=2,G226&lt;=2,H226&lt;=2,I226&lt;=2),"Emerging","Progressing")))</f>
        <v/>
      </c>
      <c r="K226" s="6" t="str">
        <f aca="false">IF(F226="","",IF(J226="Proficient","Yes","No"))</f>
        <v/>
      </c>
      <c r="L226" s="6" t="str">
        <f aca="false">IF(F226="","",INDEX({"Listening","Speaking","Reading","Writing"},MATCH(MIN(F226:I226),F226:I226,0)))</f>
        <v/>
      </c>
      <c r="M226" s="17"/>
      <c r="N226" s="6" t="str">
        <f aca="false">IF(OR(F226="",M226=""),"",ROUND(AVERAGE(F226:I226)-M226,1))</f>
        <v/>
      </c>
      <c r="O226" s="17"/>
      <c r="P226" s="17"/>
      <c r="Q226" s="17"/>
    </row>
    <row r="227" customFormat="false" ht="15" hidden="false" customHeight="tru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6" t="str">
        <f aca="false">IF(F227="","",IF(AND(F227&gt;=4,G227&gt;=4,H227&gt;=4,I227&gt;=4),"Proficient",IF(AND(F227&lt;=2,G227&lt;=2,H227&lt;=2,I227&lt;=2),"Emerging","Progressing")))</f>
        <v/>
      </c>
      <c r="K227" s="6" t="str">
        <f aca="false">IF(F227="","",IF(J227="Proficient","Yes","No"))</f>
        <v/>
      </c>
      <c r="L227" s="6" t="str">
        <f aca="false">IF(F227="","",INDEX({"Listening","Speaking","Reading","Writing"},MATCH(MIN(F227:I227),F227:I227,0)))</f>
        <v/>
      </c>
      <c r="M227" s="17"/>
      <c r="N227" s="6" t="str">
        <f aca="false">IF(OR(F227="",M227=""),"",ROUND(AVERAGE(F227:I227)-M227,1))</f>
        <v/>
      </c>
      <c r="O227" s="17"/>
      <c r="P227" s="17"/>
      <c r="Q227" s="17"/>
    </row>
    <row r="228" customFormat="false" ht="15" hidden="false" customHeight="tru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6" t="str">
        <f aca="false">IF(F228="","",IF(AND(F228&gt;=4,G228&gt;=4,H228&gt;=4,I228&gt;=4),"Proficient",IF(AND(F228&lt;=2,G228&lt;=2,H228&lt;=2,I228&lt;=2),"Emerging","Progressing")))</f>
        <v/>
      </c>
      <c r="K228" s="6" t="str">
        <f aca="false">IF(F228="","",IF(J228="Proficient","Yes","No"))</f>
        <v/>
      </c>
      <c r="L228" s="6" t="str">
        <f aca="false">IF(F228="","",INDEX({"Listening","Speaking","Reading","Writing"},MATCH(MIN(F228:I228),F228:I228,0)))</f>
        <v/>
      </c>
      <c r="M228" s="17"/>
      <c r="N228" s="6" t="str">
        <f aca="false">IF(OR(F228="",M228=""),"",ROUND(AVERAGE(F228:I228)-M228,1))</f>
        <v/>
      </c>
      <c r="O228" s="17"/>
      <c r="P228" s="17"/>
      <c r="Q228" s="17"/>
    </row>
    <row r="229" customFormat="false" ht="15" hidden="false" customHeight="tru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6" t="str">
        <f aca="false">IF(F229="","",IF(AND(F229&gt;=4,G229&gt;=4,H229&gt;=4,I229&gt;=4),"Proficient",IF(AND(F229&lt;=2,G229&lt;=2,H229&lt;=2,I229&lt;=2),"Emerging","Progressing")))</f>
        <v/>
      </c>
      <c r="K229" s="6" t="str">
        <f aca="false">IF(F229="","",IF(J229="Proficient","Yes","No"))</f>
        <v/>
      </c>
      <c r="L229" s="6" t="str">
        <f aca="false">IF(F229="","",INDEX({"Listening","Speaking","Reading","Writing"},MATCH(MIN(F229:I229),F229:I229,0)))</f>
        <v/>
      </c>
      <c r="M229" s="17"/>
      <c r="N229" s="6" t="str">
        <f aca="false">IF(OR(F229="",M229=""),"",ROUND(AVERAGE(F229:I229)-M229,1))</f>
        <v/>
      </c>
      <c r="O229" s="17"/>
      <c r="P229" s="17"/>
      <c r="Q229" s="17"/>
    </row>
    <row r="230" customFormat="false" ht="15" hidden="false" customHeight="tru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6" t="str">
        <f aca="false">IF(F230="","",IF(AND(F230&gt;=4,G230&gt;=4,H230&gt;=4,I230&gt;=4),"Proficient",IF(AND(F230&lt;=2,G230&lt;=2,H230&lt;=2,I230&lt;=2),"Emerging","Progressing")))</f>
        <v/>
      </c>
      <c r="K230" s="6" t="str">
        <f aca="false">IF(F230="","",IF(J230="Proficient","Yes","No"))</f>
        <v/>
      </c>
      <c r="L230" s="6" t="str">
        <f aca="false">IF(F230="","",INDEX({"Listening","Speaking","Reading","Writing"},MATCH(MIN(F230:I230),F230:I230,0)))</f>
        <v/>
      </c>
      <c r="M230" s="17"/>
      <c r="N230" s="6" t="str">
        <f aca="false">IF(OR(F230="",M230=""),"",ROUND(AVERAGE(F230:I230)-M230,1))</f>
        <v/>
      </c>
      <c r="O230" s="17"/>
      <c r="P230" s="17"/>
      <c r="Q230" s="17"/>
    </row>
    <row r="231" customFormat="false" ht="15" hidden="false" customHeight="tru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6" t="str">
        <f aca="false">IF(F231="","",IF(AND(F231&gt;=4,G231&gt;=4,H231&gt;=4,I231&gt;=4),"Proficient",IF(AND(F231&lt;=2,G231&lt;=2,H231&lt;=2,I231&lt;=2),"Emerging","Progressing")))</f>
        <v/>
      </c>
      <c r="K231" s="6" t="str">
        <f aca="false">IF(F231="","",IF(J231="Proficient","Yes","No"))</f>
        <v/>
      </c>
      <c r="L231" s="6" t="str">
        <f aca="false">IF(F231="","",INDEX({"Listening","Speaking","Reading","Writing"},MATCH(MIN(F231:I231),F231:I231,0)))</f>
        <v/>
      </c>
      <c r="M231" s="17"/>
      <c r="N231" s="6" t="str">
        <f aca="false">IF(OR(F231="",M231=""),"",ROUND(AVERAGE(F231:I231)-M231,1))</f>
        <v/>
      </c>
      <c r="O231" s="17"/>
      <c r="P231" s="17"/>
      <c r="Q231" s="17"/>
    </row>
    <row r="232" customFormat="false" ht="15" hidden="false" customHeight="tru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6" t="str">
        <f aca="false">IF(F232="","",IF(AND(F232&gt;=4,G232&gt;=4,H232&gt;=4,I232&gt;=4),"Proficient",IF(AND(F232&lt;=2,G232&lt;=2,H232&lt;=2,I232&lt;=2),"Emerging","Progressing")))</f>
        <v/>
      </c>
      <c r="K232" s="6" t="str">
        <f aca="false">IF(F232="","",IF(J232="Proficient","Yes","No"))</f>
        <v/>
      </c>
      <c r="L232" s="6" t="str">
        <f aca="false">IF(F232="","",INDEX({"Listening","Speaking","Reading","Writing"},MATCH(MIN(F232:I232),F232:I232,0)))</f>
        <v/>
      </c>
      <c r="M232" s="17"/>
      <c r="N232" s="6" t="str">
        <f aca="false">IF(OR(F232="",M232=""),"",ROUND(AVERAGE(F232:I232)-M232,1))</f>
        <v/>
      </c>
      <c r="O232" s="17"/>
      <c r="P232" s="17"/>
      <c r="Q232" s="17"/>
    </row>
    <row r="233" customFormat="false" ht="15" hidden="false" customHeight="tru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6" t="str">
        <f aca="false">IF(F233="","",IF(AND(F233&gt;=4,G233&gt;=4,H233&gt;=4,I233&gt;=4),"Proficient",IF(AND(F233&lt;=2,G233&lt;=2,H233&lt;=2,I233&lt;=2),"Emerging","Progressing")))</f>
        <v/>
      </c>
      <c r="K233" s="6" t="str">
        <f aca="false">IF(F233="","",IF(J233="Proficient","Yes","No"))</f>
        <v/>
      </c>
      <c r="L233" s="6" t="str">
        <f aca="false">IF(F233="","",INDEX({"Listening","Speaking","Reading","Writing"},MATCH(MIN(F233:I233),F233:I233,0)))</f>
        <v/>
      </c>
      <c r="M233" s="17"/>
      <c r="N233" s="6" t="str">
        <f aca="false">IF(OR(F233="",M233=""),"",ROUND(AVERAGE(F233:I233)-M233,1))</f>
        <v/>
      </c>
      <c r="O233" s="17"/>
      <c r="P233" s="17"/>
      <c r="Q233" s="17"/>
    </row>
    <row r="234" customFormat="false" ht="15" hidden="false" customHeight="tru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6" t="str">
        <f aca="false">IF(F234="","",IF(AND(F234&gt;=4,G234&gt;=4,H234&gt;=4,I234&gt;=4),"Proficient",IF(AND(F234&lt;=2,G234&lt;=2,H234&lt;=2,I234&lt;=2),"Emerging","Progressing")))</f>
        <v/>
      </c>
      <c r="K234" s="6" t="str">
        <f aca="false">IF(F234="","",IF(J234="Proficient","Yes","No"))</f>
        <v/>
      </c>
      <c r="L234" s="6" t="str">
        <f aca="false">IF(F234="","",INDEX({"Listening","Speaking","Reading","Writing"},MATCH(MIN(F234:I234),F234:I234,0)))</f>
        <v/>
      </c>
      <c r="M234" s="17"/>
      <c r="N234" s="6" t="str">
        <f aca="false">IF(OR(F234="",M234=""),"",ROUND(AVERAGE(F234:I234)-M234,1))</f>
        <v/>
      </c>
      <c r="O234" s="17"/>
      <c r="P234" s="17"/>
      <c r="Q234" s="17"/>
    </row>
    <row r="235" customFormat="false" ht="15" hidden="false" customHeight="tru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6" t="str">
        <f aca="false">IF(F235="","",IF(AND(F235&gt;=4,G235&gt;=4,H235&gt;=4,I235&gt;=4),"Proficient",IF(AND(F235&lt;=2,G235&lt;=2,H235&lt;=2,I235&lt;=2),"Emerging","Progressing")))</f>
        <v/>
      </c>
      <c r="K235" s="6" t="str">
        <f aca="false">IF(F235="","",IF(J235="Proficient","Yes","No"))</f>
        <v/>
      </c>
      <c r="L235" s="6" t="str">
        <f aca="false">IF(F235="","",INDEX({"Listening","Speaking","Reading","Writing"},MATCH(MIN(F235:I235),F235:I235,0)))</f>
        <v/>
      </c>
      <c r="M235" s="17"/>
      <c r="N235" s="6" t="str">
        <f aca="false">IF(OR(F235="",M235=""),"",ROUND(AVERAGE(F235:I235)-M235,1))</f>
        <v/>
      </c>
      <c r="O235" s="17"/>
      <c r="P235" s="17"/>
      <c r="Q235" s="17"/>
    </row>
    <row r="236" customFormat="false" ht="15" hidden="false" customHeight="tru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6" t="str">
        <f aca="false">IF(F236="","",IF(AND(F236&gt;=4,G236&gt;=4,H236&gt;=4,I236&gt;=4),"Proficient",IF(AND(F236&lt;=2,G236&lt;=2,H236&lt;=2,I236&lt;=2),"Emerging","Progressing")))</f>
        <v/>
      </c>
      <c r="K236" s="6" t="str">
        <f aca="false">IF(F236="","",IF(J236="Proficient","Yes","No"))</f>
        <v/>
      </c>
      <c r="L236" s="6" t="str">
        <f aca="false">IF(F236="","",INDEX({"Listening","Speaking","Reading","Writing"},MATCH(MIN(F236:I236),F236:I236,0)))</f>
        <v/>
      </c>
      <c r="M236" s="17"/>
      <c r="N236" s="6" t="str">
        <f aca="false">IF(OR(F236="",M236=""),"",ROUND(AVERAGE(F236:I236)-M236,1))</f>
        <v/>
      </c>
      <c r="O236" s="17"/>
      <c r="P236" s="17"/>
      <c r="Q236" s="17"/>
    </row>
    <row r="237" customFormat="false" ht="15" hidden="false" customHeight="tru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6" t="str">
        <f aca="false">IF(F237="","",IF(AND(F237&gt;=4,G237&gt;=4,H237&gt;=4,I237&gt;=4),"Proficient",IF(AND(F237&lt;=2,G237&lt;=2,H237&lt;=2,I237&lt;=2),"Emerging","Progressing")))</f>
        <v/>
      </c>
      <c r="K237" s="6" t="str">
        <f aca="false">IF(F237="","",IF(J237="Proficient","Yes","No"))</f>
        <v/>
      </c>
      <c r="L237" s="6" t="str">
        <f aca="false">IF(F237="","",INDEX({"Listening","Speaking","Reading","Writing"},MATCH(MIN(F237:I237),F237:I237,0)))</f>
        <v/>
      </c>
      <c r="M237" s="17"/>
      <c r="N237" s="6" t="str">
        <f aca="false">IF(OR(F237="",M237=""),"",ROUND(AVERAGE(F237:I237)-M237,1))</f>
        <v/>
      </c>
      <c r="O237" s="17"/>
      <c r="P237" s="17"/>
      <c r="Q237" s="17"/>
    </row>
    <row r="238" customFormat="false" ht="15" hidden="false" customHeight="tru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6" t="str">
        <f aca="false">IF(F238="","",IF(AND(F238&gt;=4,G238&gt;=4,H238&gt;=4,I238&gt;=4),"Proficient",IF(AND(F238&lt;=2,G238&lt;=2,H238&lt;=2,I238&lt;=2),"Emerging","Progressing")))</f>
        <v/>
      </c>
      <c r="K238" s="6" t="str">
        <f aca="false">IF(F238="","",IF(J238="Proficient","Yes","No"))</f>
        <v/>
      </c>
      <c r="L238" s="6" t="str">
        <f aca="false">IF(F238="","",INDEX({"Listening","Speaking","Reading","Writing"},MATCH(MIN(F238:I238),F238:I238,0)))</f>
        <v/>
      </c>
      <c r="M238" s="17"/>
      <c r="N238" s="6" t="str">
        <f aca="false">IF(OR(F238="",M238=""),"",ROUND(AVERAGE(F238:I238)-M238,1))</f>
        <v/>
      </c>
      <c r="O238" s="17"/>
      <c r="P238" s="17"/>
      <c r="Q238" s="17"/>
    </row>
    <row r="239" customFormat="false" ht="15" hidden="false" customHeight="tru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6" t="str">
        <f aca="false">IF(F239="","",IF(AND(F239&gt;=4,G239&gt;=4,H239&gt;=4,I239&gt;=4),"Proficient",IF(AND(F239&lt;=2,G239&lt;=2,H239&lt;=2,I239&lt;=2),"Emerging","Progressing")))</f>
        <v/>
      </c>
      <c r="K239" s="6" t="str">
        <f aca="false">IF(F239="","",IF(J239="Proficient","Yes","No"))</f>
        <v/>
      </c>
      <c r="L239" s="6" t="str">
        <f aca="false">IF(F239="","",INDEX({"Listening","Speaking","Reading","Writing"},MATCH(MIN(F239:I239),F239:I239,0)))</f>
        <v/>
      </c>
      <c r="M239" s="17"/>
      <c r="N239" s="6" t="str">
        <f aca="false">IF(OR(F239="",M239=""),"",ROUND(AVERAGE(F239:I239)-M239,1))</f>
        <v/>
      </c>
      <c r="O239" s="17"/>
      <c r="P239" s="17"/>
      <c r="Q239" s="17"/>
    </row>
    <row r="240" customFormat="false" ht="15" hidden="false" customHeight="tru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6" t="str">
        <f aca="false">IF(F240="","",IF(AND(F240&gt;=4,G240&gt;=4,H240&gt;=4,I240&gt;=4),"Proficient",IF(AND(F240&lt;=2,G240&lt;=2,H240&lt;=2,I240&lt;=2),"Emerging","Progressing")))</f>
        <v/>
      </c>
      <c r="K240" s="6" t="str">
        <f aca="false">IF(F240="","",IF(J240="Proficient","Yes","No"))</f>
        <v/>
      </c>
      <c r="L240" s="6" t="str">
        <f aca="false">IF(F240="","",INDEX({"Listening","Speaking","Reading","Writing"},MATCH(MIN(F240:I240),F240:I240,0)))</f>
        <v/>
      </c>
      <c r="M240" s="17"/>
      <c r="N240" s="6" t="str">
        <f aca="false">IF(OR(F240="",M240=""),"",ROUND(AVERAGE(F240:I240)-M240,1))</f>
        <v/>
      </c>
      <c r="O240" s="17"/>
      <c r="P240" s="17"/>
      <c r="Q240" s="17"/>
    </row>
    <row r="241" customFormat="false" ht="15" hidden="false" customHeight="tru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6" t="str">
        <f aca="false">IF(F241="","",IF(AND(F241&gt;=4,G241&gt;=4,H241&gt;=4,I241&gt;=4),"Proficient",IF(AND(F241&lt;=2,G241&lt;=2,H241&lt;=2,I241&lt;=2),"Emerging","Progressing")))</f>
        <v/>
      </c>
      <c r="K241" s="6" t="str">
        <f aca="false">IF(F241="","",IF(J241="Proficient","Yes","No"))</f>
        <v/>
      </c>
      <c r="L241" s="6" t="str">
        <f aca="false">IF(F241="","",INDEX({"Listening","Speaking","Reading","Writing"},MATCH(MIN(F241:I241),F241:I241,0)))</f>
        <v/>
      </c>
      <c r="M241" s="17"/>
      <c r="N241" s="6" t="str">
        <f aca="false">IF(OR(F241="",M241=""),"",ROUND(AVERAGE(F241:I241)-M241,1))</f>
        <v/>
      </c>
      <c r="O241" s="17"/>
      <c r="P241" s="17"/>
      <c r="Q241" s="17"/>
    </row>
    <row r="242" customFormat="false" ht="15" hidden="false" customHeight="tru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6" t="str">
        <f aca="false">IF(F242="","",IF(AND(F242&gt;=4,G242&gt;=4,H242&gt;=4,I242&gt;=4),"Proficient",IF(AND(F242&lt;=2,G242&lt;=2,H242&lt;=2,I242&lt;=2),"Emerging","Progressing")))</f>
        <v/>
      </c>
      <c r="K242" s="6" t="str">
        <f aca="false">IF(F242="","",IF(J242="Proficient","Yes","No"))</f>
        <v/>
      </c>
      <c r="L242" s="6" t="str">
        <f aca="false">IF(F242="","",INDEX({"Listening","Speaking","Reading","Writing"},MATCH(MIN(F242:I242),F242:I242,0)))</f>
        <v/>
      </c>
      <c r="M242" s="17"/>
      <c r="N242" s="6" t="str">
        <f aca="false">IF(OR(F242="",M242=""),"",ROUND(AVERAGE(F242:I242)-M242,1))</f>
        <v/>
      </c>
      <c r="O242" s="17"/>
      <c r="P242" s="17"/>
      <c r="Q242" s="17"/>
    </row>
    <row r="243" customFormat="false" ht="15" hidden="false" customHeight="tru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6" t="str">
        <f aca="false">IF(F243="","",IF(AND(F243&gt;=4,G243&gt;=4,H243&gt;=4,I243&gt;=4),"Proficient",IF(AND(F243&lt;=2,G243&lt;=2,H243&lt;=2,I243&lt;=2),"Emerging","Progressing")))</f>
        <v/>
      </c>
      <c r="K243" s="6" t="str">
        <f aca="false">IF(F243="","",IF(J243="Proficient","Yes","No"))</f>
        <v/>
      </c>
      <c r="L243" s="6" t="str">
        <f aca="false">IF(F243="","",INDEX({"Listening","Speaking","Reading","Writing"},MATCH(MIN(F243:I243),F243:I243,0)))</f>
        <v/>
      </c>
      <c r="M243" s="17"/>
      <c r="N243" s="6" t="str">
        <f aca="false">IF(OR(F243="",M243=""),"",ROUND(AVERAGE(F243:I243)-M243,1))</f>
        <v/>
      </c>
      <c r="O243" s="17"/>
      <c r="P243" s="17"/>
      <c r="Q243" s="17"/>
    </row>
    <row r="244" customFormat="false" ht="15" hidden="false" customHeight="tru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6" t="str">
        <f aca="false">IF(F244="","",IF(AND(F244&gt;=4,G244&gt;=4,H244&gt;=4,I244&gt;=4),"Proficient",IF(AND(F244&lt;=2,G244&lt;=2,H244&lt;=2,I244&lt;=2),"Emerging","Progressing")))</f>
        <v/>
      </c>
      <c r="K244" s="6" t="str">
        <f aca="false">IF(F244="","",IF(J244="Proficient","Yes","No"))</f>
        <v/>
      </c>
      <c r="L244" s="6" t="str">
        <f aca="false">IF(F244="","",INDEX({"Listening","Speaking","Reading","Writing"},MATCH(MIN(F244:I244),F244:I244,0)))</f>
        <v/>
      </c>
      <c r="M244" s="17"/>
      <c r="N244" s="6" t="str">
        <f aca="false">IF(OR(F244="",M244=""),"",ROUND(AVERAGE(F244:I244)-M244,1))</f>
        <v/>
      </c>
      <c r="O244" s="17"/>
      <c r="P244" s="17"/>
      <c r="Q244" s="17"/>
    </row>
    <row r="245" customFormat="false" ht="15" hidden="false" customHeight="tru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6" t="str">
        <f aca="false">IF(F245="","",IF(AND(F245&gt;=4,G245&gt;=4,H245&gt;=4,I245&gt;=4),"Proficient",IF(AND(F245&lt;=2,G245&lt;=2,H245&lt;=2,I245&lt;=2),"Emerging","Progressing")))</f>
        <v/>
      </c>
      <c r="K245" s="6" t="str">
        <f aca="false">IF(F245="","",IF(J245="Proficient","Yes","No"))</f>
        <v/>
      </c>
      <c r="L245" s="6" t="str">
        <f aca="false">IF(F245="","",INDEX({"Listening","Speaking","Reading","Writing"},MATCH(MIN(F245:I245),F245:I245,0)))</f>
        <v/>
      </c>
      <c r="M245" s="17"/>
      <c r="N245" s="6" t="str">
        <f aca="false">IF(OR(F245="",M245=""),"",ROUND(AVERAGE(F245:I245)-M245,1))</f>
        <v/>
      </c>
      <c r="O245" s="17"/>
      <c r="P245" s="17"/>
      <c r="Q245" s="17"/>
    </row>
    <row r="246" customFormat="false" ht="15" hidden="false" customHeight="tru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6" t="str">
        <f aca="false">IF(F246="","",IF(AND(F246&gt;=4,G246&gt;=4,H246&gt;=4,I246&gt;=4),"Proficient",IF(AND(F246&lt;=2,G246&lt;=2,H246&lt;=2,I246&lt;=2),"Emerging","Progressing")))</f>
        <v/>
      </c>
      <c r="K246" s="6" t="str">
        <f aca="false">IF(F246="","",IF(J246="Proficient","Yes","No"))</f>
        <v/>
      </c>
      <c r="L246" s="6" t="str">
        <f aca="false">IF(F246="","",INDEX({"Listening","Speaking","Reading","Writing"},MATCH(MIN(F246:I246),F246:I246,0)))</f>
        <v/>
      </c>
      <c r="M246" s="17"/>
      <c r="N246" s="6" t="str">
        <f aca="false">IF(OR(F246="",M246=""),"",ROUND(AVERAGE(F246:I246)-M246,1))</f>
        <v/>
      </c>
      <c r="O246" s="17"/>
      <c r="P246" s="17"/>
      <c r="Q246" s="17"/>
    </row>
    <row r="247" customFormat="false" ht="15" hidden="false" customHeight="tru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6" t="str">
        <f aca="false">IF(F247="","",IF(AND(F247&gt;=4,G247&gt;=4,H247&gt;=4,I247&gt;=4),"Proficient",IF(AND(F247&lt;=2,G247&lt;=2,H247&lt;=2,I247&lt;=2),"Emerging","Progressing")))</f>
        <v/>
      </c>
      <c r="K247" s="6" t="str">
        <f aca="false">IF(F247="","",IF(J247="Proficient","Yes","No"))</f>
        <v/>
      </c>
      <c r="L247" s="6" t="str">
        <f aca="false">IF(F247="","",INDEX({"Listening","Speaking","Reading","Writing"},MATCH(MIN(F247:I247),F247:I247,0)))</f>
        <v/>
      </c>
      <c r="M247" s="17"/>
      <c r="N247" s="6" t="str">
        <f aca="false">IF(OR(F247="",M247=""),"",ROUND(AVERAGE(F247:I247)-M247,1))</f>
        <v/>
      </c>
      <c r="O247" s="17"/>
      <c r="P247" s="17"/>
      <c r="Q247" s="17"/>
    </row>
    <row r="248" customFormat="false" ht="15" hidden="false" customHeight="tru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6" t="str">
        <f aca="false">IF(F248="","",IF(AND(F248&gt;=4,G248&gt;=4,H248&gt;=4,I248&gt;=4),"Proficient",IF(AND(F248&lt;=2,G248&lt;=2,H248&lt;=2,I248&lt;=2),"Emerging","Progressing")))</f>
        <v/>
      </c>
      <c r="K248" s="6" t="str">
        <f aca="false">IF(F248="","",IF(J248="Proficient","Yes","No"))</f>
        <v/>
      </c>
      <c r="L248" s="6" t="str">
        <f aca="false">IF(F248="","",INDEX({"Listening","Speaking","Reading","Writing"},MATCH(MIN(F248:I248),F248:I248,0)))</f>
        <v/>
      </c>
      <c r="M248" s="17"/>
      <c r="N248" s="6" t="str">
        <f aca="false">IF(OR(F248="",M248=""),"",ROUND(AVERAGE(F248:I248)-M248,1))</f>
        <v/>
      </c>
      <c r="O248" s="17"/>
      <c r="P248" s="17"/>
      <c r="Q248" s="17"/>
    </row>
    <row r="249" customFormat="false" ht="15" hidden="false" customHeight="tru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6" t="str">
        <f aca="false">IF(F249="","",IF(AND(F249&gt;=4,G249&gt;=4,H249&gt;=4,I249&gt;=4),"Proficient",IF(AND(F249&lt;=2,G249&lt;=2,H249&lt;=2,I249&lt;=2),"Emerging","Progressing")))</f>
        <v/>
      </c>
      <c r="K249" s="6" t="str">
        <f aca="false">IF(F249="","",IF(J249="Proficient","Yes","No"))</f>
        <v/>
      </c>
      <c r="L249" s="6" t="str">
        <f aca="false">IF(F249="","",INDEX({"Listening","Speaking","Reading","Writing"},MATCH(MIN(F249:I249),F249:I249,0)))</f>
        <v/>
      </c>
      <c r="M249" s="17"/>
      <c r="N249" s="6" t="str">
        <f aca="false">IF(OR(F249="",M249=""),"",ROUND(AVERAGE(F249:I249)-M249,1))</f>
        <v/>
      </c>
      <c r="O249" s="17"/>
      <c r="P249" s="17"/>
      <c r="Q249" s="17"/>
    </row>
    <row r="250" customFormat="false" ht="15" hidden="false" customHeight="tru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6" t="str">
        <f aca="false">IF(F250="","",IF(AND(F250&gt;=4,G250&gt;=4,H250&gt;=4,I250&gt;=4),"Proficient",IF(AND(F250&lt;=2,G250&lt;=2,H250&lt;=2,I250&lt;=2),"Emerging","Progressing")))</f>
        <v/>
      </c>
      <c r="K250" s="6" t="str">
        <f aca="false">IF(F250="","",IF(J250="Proficient","Yes","No"))</f>
        <v/>
      </c>
      <c r="L250" s="6" t="str">
        <f aca="false">IF(F250="","",INDEX({"Listening","Speaking","Reading","Writing"},MATCH(MIN(F250:I250),F250:I250,0)))</f>
        <v/>
      </c>
      <c r="M250" s="17"/>
      <c r="N250" s="6" t="str">
        <f aca="false">IF(OR(F250="",M250=""),"",ROUND(AVERAGE(F250:I250)-M250,1))</f>
        <v/>
      </c>
      <c r="O250" s="17"/>
      <c r="P250" s="17"/>
      <c r="Q250" s="17"/>
    </row>
    <row r="251" customFormat="false" ht="15" hidden="false" customHeight="tru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6" t="str">
        <f aca="false">IF(F251="","",IF(AND(F251&gt;=4,G251&gt;=4,H251&gt;=4,I251&gt;=4),"Proficient",IF(AND(F251&lt;=2,G251&lt;=2,H251&lt;=2,I251&lt;=2),"Emerging","Progressing")))</f>
        <v/>
      </c>
      <c r="K251" s="6" t="str">
        <f aca="false">IF(F251="","",IF(J251="Proficient","Yes","No"))</f>
        <v/>
      </c>
      <c r="L251" s="6" t="str">
        <f aca="false">IF(F251="","",INDEX({"Listening","Speaking","Reading","Writing"},MATCH(MIN(F251:I251),F251:I251,0)))</f>
        <v/>
      </c>
      <c r="M251" s="17"/>
      <c r="N251" s="6" t="str">
        <f aca="false">IF(OR(F251="",M251=""),"",ROUND(AVERAGE(F251:I251)-M251,1))</f>
        <v/>
      </c>
      <c r="O251" s="17"/>
      <c r="P251" s="17"/>
      <c r="Q251" s="17"/>
    </row>
    <row r="252" customFormat="false" ht="15" hidden="false" customHeight="tru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6" t="str">
        <f aca="false">IF(F252="","",IF(AND(F252&gt;=4,G252&gt;=4,H252&gt;=4,I252&gt;=4),"Proficient",IF(AND(F252&lt;=2,G252&lt;=2,H252&lt;=2,I252&lt;=2),"Emerging","Progressing")))</f>
        <v/>
      </c>
      <c r="K252" s="6" t="str">
        <f aca="false">IF(F252="","",IF(J252="Proficient","Yes","No"))</f>
        <v/>
      </c>
      <c r="L252" s="6" t="str">
        <f aca="false">IF(F252="","",INDEX({"Listening","Speaking","Reading","Writing"},MATCH(MIN(F252:I252),F252:I252,0)))</f>
        <v/>
      </c>
      <c r="M252" s="17"/>
      <c r="N252" s="6" t="str">
        <f aca="false">IF(OR(F252="",M252=""),"",ROUND(AVERAGE(F252:I252)-M252,1))</f>
        <v/>
      </c>
      <c r="O252" s="17"/>
      <c r="P252" s="17"/>
      <c r="Q252" s="17"/>
    </row>
    <row r="253" customFormat="false" ht="15" hidden="false" customHeight="tru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6" t="str">
        <f aca="false">IF(F253="","",IF(AND(F253&gt;=4,G253&gt;=4,H253&gt;=4,I253&gt;=4),"Proficient",IF(AND(F253&lt;=2,G253&lt;=2,H253&lt;=2,I253&lt;=2),"Emerging","Progressing")))</f>
        <v/>
      </c>
      <c r="K253" s="6" t="str">
        <f aca="false">IF(F253="","",IF(J253="Proficient","Yes","No"))</f>
        <v/>
      </c>
      <c r="L253" s="6" t="str">
        <f aca="false">IF(F253="","",INDEX({"Listening","Speaking","Reading","Writing"},MATCH(MIN(F253:I253),F253:I253,0)))</f>
        <v/>
      </c>
      <c r="M253" s="17"/>
      <c r="N253" s="6" t="str">
        <f aca="false">IF(OR(F253="",M253=""),"",ROUND(AVERAGE(F253:I253)-M253,1))</f>
        <v/>
      </c>
      <c r="O253" s="17"/>
      <c r="P253" s="17"/>
      <c r="Q253" s="17"/>
    </row>
    <row r="254" customFormat="false" ht="15" hidden="false" customHeight="tru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6" t="str">
        <f aca="false">IF(F254="","",IF(AND(F254&gt;=4,G254&gt;=4,H254&gt;=4,I254&gt;=4),"Proficient",IF(AND(F254&lt;=2,G254&lt;=2,H254&lt;=2,I254&lt;=2),"Emerging","Progressing")))</f>
        <v/>
      </c>
      <c r="K254" s="6" t="str">
        <f aca="false">IF(F254="","",IF(J254="Proficient","Yes","No"))</f>
        <v/>
      </c>
      <c r="L254" s="6" t="str">
        <f aca="false">IF(F254="","",INDEX({"Listening","Speaking","Reading","Writing"},MATCH(MIN(F254:I254),F254:I254,0)))</f>
        <v/>
      </c>
      <c r="M254" s="17"/>
      <c r="N254" s="6" t="str">
        <f aca="false">IF(OR(F254="",M254=""),"",ROUND(AVERAGE(F254:I254)-M254,1))</f>
        <v/>
      </c>
      <c r="O254" s="17"/>
      <c r="P254" s="17"/>
      <c r="Q254" s="17"/>
    </row>
    <row r="255" customFormat="false" ht="15" hidden="false" customHeight="tru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6" t="str">
        <f aca="false">IF(F255="","",IF(AND(F255&gt;=4,G255&gt;=4,H255&gt;=4,I255&gt;=4),"Proficient",IF(AND(F255&lt;=2,G255&lt;=2,H255&lt;=2,I255&lt;=2),"Emerging","Progressing")))</f>
        <v/>
      </c>
      <c r="K255" s="6" t="str">
        <f aca="false">IF(F255="","",IF(J255="Proficient","Yes","No"))</f>
        <v/>
      </c>
      <c r="L255" s="6" t="str">
        <f aca="false">IF(F255="","",INDEX({"Listening","Speaking","Reading","Writing"},MATCH(MIN(F255:I255),F255:I255,0)))</f>
        <v/>
      </c>
      <c r="M255" s="17"/>
      <c r="N255" s="6" t="str">
        <f aca="false">IF(OR(F255="",M255=""),"",ROUND(AVERAGE(F255:I255)-M255,1))</f>
        <v/>
      </c>
      <c r="O255" s="17"/>
      <c r="P255" s="17"/>
      <c r="Q255" s="17"/>
    </row>
    <row r="256" customFormat="false" ht="15" hidden="false" customHeight="tru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6" t="str">
        <f aca="false">IF(F256="","",IF(AND(F256&gt;=4,G256&gt;=4,H256&gt;=4,I256&gt;=4),"Proficient",IF(AND(F256&lt;=2,G256&lt;=2,H256&lt;=2,I256&lt;=2),"Emerging","Progressing")))</f>
        <v/>
      </c>
      <c r="K256" s="6" t="str">
        <f aca="false">IF(F256="","",IF(J256="Proficient","Yes","No"))</f>
        <v/>
      </c>
      <c r="L256" s="6" t="str">
        <f aca="false">IF(F256="","",INDEX({"Listening","Speaking","Reading","Writing"},MATCH(MIN(F256:I256),F256:I256,0)))</f>
        <v/>
      </c>
      <c r="M256" s="17"/>
      <c r="N256" s="6" t="str">
        <f aca="false">IF(OR(F256="",M256=""),"",ROUND(AVERAGE(F256:I256)-M256,1))</f>
        <v/>
      </c>
      <c r="O256" s="17"/>
      <c r="P256" s="17"/>
      <c r="Q256" s="17"/>
    </row>
    <row r="257" customFormat="false" ht="15" hidden="false" customHeight="tru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6" t="str">
        <f aca="false">IF(F257="","",IF(AND(F257&gt;=4,G257&gt;=4,H257&gt;=4,I257&gt;=4),"Proficient",IF(AND(F257&lt;=2,G257&lt;=2,H257&lt;=2,I257&lt;=2),"Emerging","Progressing")))</f>
        <v/>
      </c>
      <c r="K257" s="6" t="str">
        <f aca="false">IF(F257="","",IF(J257="Proficient","Yes","No"))</f>
        <v/>
      </c>
      <c r="L257" s="6" t="str">
        <f aca="false">IF(F257="","",INDEX({"Listening","Speaking","Reading","Writing"},MATCH(MIN(F257:I257),F257:I257,0)))</f>
        <v/>
      </c>
      <c r="M257" s="17"/>
      <c r="N257" s="6" t="str">
        <f aca="false">IF(OR(F257="",M257=""),"",ROUND(AVERAGE(F257:I257)-M257,1))</f>
        <v/>
      </c>
      <c r="O257" s="17"/>
      <c r="P257" s="17"/>
      <c r="Q257" s="17"/>
    </row>
    <row r="258" customFormat="false" ht="15" hidden="false" customHeight="tru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6" t="str">
        <f aca="false">IF(F258="","",IF(AND(F258&gt;=4,G258&gt;=4,H258&gt;=4,I258&gt;=4),"Proficient",IF(AND(F258&lt;=2,G258&lt;=2,H258&lt;=2,I258&lt;=2),"Emerging","Progressing")))</f>
        <v/>
      </c>
      <c r="K258" s="6" t="str">
        <f aca="false">IF(F258="","",IF(J258="Proficient","Yes","No"))</f>
        <v/>
      </c>
      <c r="L258" s="6" t="str">
        <f aca="false">IF(F258="","",INDEX({"Listening","Speaking","Reading","Writing"},MATCH(MIN(F258:I258),F258:I258,0)))</f>
        <v/>
      </c>
      <c r="M258" s="17"/>
      <c r="N258" s="6" t="str">
        <f aca="false">IF(OR(F258="",M258=""),"",ROUND(AVERAGE(F258:I258)-M258,1))</f>
        <v/>
      </c>
      <c r="O258" s="17"/>
      <c r="P258" s="17"/>
      <c r="Q258" s="17"/>
    </row>
    <row r="259" customFormat="false" ht="15" hidden="false" customHeight="tru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6" t="str">
        <f aca="false">IF(F259="","",IF(AND(F259&gt;=4,G259&gt;=4,H259&gt;=4,I259&gt;=4),"Proficient",IF(AND(F259&lt;=2,G259&lt;=2,H259&lt;=2,I259&lt;=2),"Emerging","Progressing")))</f>
        <v/>
      </c>
      <c r="K259" s="6" t="str">
        <f aca="false">IF(F259="","",IF(J259="Proficient","Yes","No"))</f>
        <v/>
      </c>
      <c r="L259" s="6" t="str">
        <f aca="false">IF(F259="","",INDEX({"Listening","Speaking","Reading","Writing"},MATCH(MIN(F259:I259),F259:I259,0)))</f>
        <v/>
      </c>
      <c r="M259" s="17"/>
      <c r="N259" s="6" t="str">
        <f aca="false">IF(OR(F259="",M259=""),"",ROUND(AVERAGE(F259:I259)-M259,1))</f>
        <v/>
      </c>
      <c r="O259" s="17"/>
      <c r="P259" s="17"/>
      <c r="Q259" s="17"/>
    </row>
    <row r="260" customFormat="false" ht="15" hidden="false" customHeight="tru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6" t="str">
        <f aca="false">IF(F260="","",IF(AND(F260&gt;=4,G260&gt;=4,H260&gt;=4,I260&gt;=4),"Proficient",IF(AND(F260&lt;=2,G260&lt;=2,H260&lt;=2,I260&lt;=2),"Emerging","Progressing")))</f>
        <v/>
      </c>
      <c r="K260" s="6" t="str">
        <f aca="false">IF(F260="","",IF(J260="Proficient","Yes","No"))</f>
        <v/>
      </c>
      <c r="L260" s="6" t="str">
        <f aca="false">IF(F260="","",INDEX({"Listening","Speaking","Reading","Writing"},MATCH(MIN(F260:I260),F260:I260,0)))</f>
        <v/>
      </c>
      <c r="M260" s="17"/>
      <c r="N260" s="6" t="str">
        <f aca="false">IF(OR(F260="",M260=""),"",ROUND(AVERAGE(F260:I260)-M260,1))</f>
        <v/>
      </c>
      <c r="O260" s="17"/>
      <c r="P260" s="17"/>
      <c r="Q260" s="17"/>
    </row>
    <row r="261" customFormat="false" ht="15" hidden="false" customHeight="tru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6" t="str">
        <f aca="false">IF(F261="","",IF(AND(F261&gt;=4,G261&gt;=4,H261&gt;=4,I261&gt;=4),"Proficient",IF(AND(F261&lt;=2,G261&lt;=2,H261&lt;=2,I261&lt;=2),"Emerging","Progressing")))</f>
        <v/>
      </c>
      <c r="K261" s="6" t="str">
        <f aca="false">IF(F261="","",IF(J261="Proficient","Yes","No"))</f>
        <v/>
      </c>
      <c r="L261" s="6" t="str">
        <f aca="false">IF(F261="","",INDEX({"Listening","Speaking","Reading","Writing"},MATCH(MIN(F261:I261),F261:I261,0)))</f>
        <v/>
      </c>
      <c r="M261" s="17"/>
      <c r="N261" s="6" t="str">
        <f aca="false">IF(OR(F261="",M261=""),"",ROUND(AVERAGE(F261:I261)-M261,1))</f>
        <v/>
      </c>
      <c r="O261" s="17"/>
      <c r="P261" s="17"/>
      <c r="Q261" s="17"/>
    </row>
    <row r="262" customFormat="false" ht="15" hidden="false" customHeight="tru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6" t="str">
        <f aca="false">IF(F262="","",IF(AND(F262&gt;=4,G262&gt;=4,H262&gt;=4,I262&gt;=4),"Proficient",IF(AND(F262&lt;=2,G262&lt;=2,H262&lt;=2,I262&lt;=2),"Emerging","Progressing")))</f>
        <v/>
      </c>
      <c r="K262" s="6" t="str">
        <f aca="false">IF(F262="","",IF(J262="Proficient","Yes","No"))</f>
        <v/>
      </c>
      <c r="L262" s="6" t="str">
        <f aca="false">IF(F262="","",INDEX({"Listening","Speaking","Reading","Writing"},MATCH(MIN(F262:I262),F262:I262,0)))</f>
        <v/>
      </c>
      <c r="M262" s="17"/>
      <c r="N262" s="6" t="str">
        <f aca="false">IF(OR(F262="",M262=""),"",ROUND(AVERAGE(F262:I262)-M262,1))</f>
        <v/>
      </c>
      <c r="O262" s="17"/>
      <c r="P262" s="17"/>
      <c r="Q262" s="17"/>
    </row>
    <row r="263" customFormat="false" ht="15" hidden="false" customHeight="tru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6" t="str">
        <f aca="false">IF(F263="","",IF(AND(F263&gt;=4,G263&gt;=4,H263&gt;=4,I263&gt;=4),"Proficient",IF(AND(F263&lt;=2,G263&lt;=2,H263&lt;=2,I263&lt;=2),"Emerging","Progressing")))</f>
        <v/>
      </c>
      <c r="K263" s="6" t="str">
        <f aca="false">IF(F263="","",IF(J263="Proficient","Yes","No"))</f>
        <v/>
      </c>
      <c r="L263" s="6" t="str">
        <f aca="false">IF(F263="","",INDEX({"Listening","Speaking","Reading","Writing"},MATCH(MIN(F263:I263),F263:I263,0)))</f>
        <v/>
      </c>
      <c r="M263" s="17"/>
      <c r="N263" s="6" t="str">
        <f aca="false">IF(OR(F263="",M263=""),"",ROUND(AVERAGE(F263:I263)-M263,1))</f>
        <v/>
      </c>
      <c r="O263" s="17"/>
      <c r="P263" s="17"/>
      <c r="Q263" s="17"/>
    </row>
    <row r="264" customFormat="false" ht="15" hidden="false" customHeight="tru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6" t="str">
        <f aca="false">IF(F264="","",IF(AND(F264&gt;=4,G264&gt;=4,H264&gt;=4,I264&gt;=4),"Proficient",IF(AND(F264&lt;=2,G264&lt;=2,H264&lt;=2,I264&lt;=2),"Emerging","Progressing")))</f>
        <v/>
      </c>
      <c r="K264" s="6" t="str">
        <f aca="false">IF(F264="","",IF(J264="Proficient","Yes","No"))</f>
        <v/>
      </c>
      <c r="L264" s="6" t="str">
        <f aca="false">IF(F264="","",INDEX({"Listening","Speaking","Reading","Writing"},MATCH(MIN(F264:I264),F264:I264,0)))</f>
        <v/>
      </c>
      <c r="M264" s="17"/>
      <c r="N264" s="6" t="str">
        <f aca="false">IF(OR(F264="",M264=""),"",ROUND(AVERAGE(F264:I264)-M264,1))</f>
        <v/>
      </c>
      <c r="O264" s="17"/>
      <c r="P264" s="17"/>
      <c r="Q264" s="17"/>
    </row>
    <row r="265" customFormat="false" ht="15" hidden="false" customHeight="tru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6" t="str">
        <f aca="false">IF(F265="","",IF(AND(F265&gt;=4,G265&gt;=4,H265&gt;=4,I265&gt;=4),"Proficient",IF(AND(F265&lt;=2,G265&lt;=2,H265&lt;=2,I265&lt;=2),"Emerging","Progressing")))</f>
        <v/>
      </c>
      <c r="K265" s="6" t="str">
        <f aca="false">IF(F265="","",IF(J265="Proficient","Yes","No"))</f>
        <v/>
      </c>
      <c r="L265" s="6" t="str">
        <f aca="false">IF(F265="","",INDEX({"Listening","Speaking","Reading","Writing"},MATCH(MIN(F265:I265),F265:I265,0)))</f>
        <v/>
      </c>
      <c r="M265" s="17"/>
      <c r="N265" s="6" t="str">
        <f aca="false">IF(OR(F265="",M265=""),"",ROUND(AVERAGE(F265:I265)-M265,1))</f>
        <v/>
      </c>
      <c r="O265" s="17"/>
      <c r="P265" s="17"/>
      <c r="Q265" s="17"/>
    </row>
    <row r="266" customFormat="false" ht="15" hidden="false" customHeight="tru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6" t="str">
        <f aca="false">IF(F266="","",IF(AND(F266&gt;=4,G266&gt;=4,H266&gt;=4,I266&gt;=4),"Proficient",IF(AND(F266&lt;=2,G266&lt;=2,H266&lt;=2,I266&lt;=2),"Emerging","Progressing")))</f>
        <v/>
      </c>
      <c r="K266" s="6" t="str">
        <f aca="false">IF(F266="","",IF(J266="Proficient","Yes","No"))</f>
        <v/>
      </c>
      <c r="L266" s="6" t="str">
        <f aca="false">IF(F266="","",INDEX({"Listening","Speaking","Reading","Writing"},MATCH(MIN(F266:I266),F266:I266,0)))</f>
        <v/>
      </c>
      <c r="M266" s="17"/>
      <c r="N266" s="6" t="str">
        <f aca="false">IF(OR(F266="",M266=""),"",ROUND(AVERAGE(F266:I266)-M266,1))</f>
        <v/>
      </c>
      <c r="O266" s="17"/>
      <c r="P266" s="17"/>
      <c r="Q266" s="17"/>
    </row>
    <row r="267" customFormat="false" ht="15" hidden="false" customHeight="tru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6" t="str">
        <f aca="false">IF(F267="","",IF(AND(F267&gt;=4,G267&gt;=4,H267&gt;=4,I267&gt;=4),"Proficient",IF(AND(F267&lt;=2,G267&lt;=2,H267&lt;=2,I267&lt;=2),"Emerging","Progressing")))</f>
        <v/>
      </c>
      <c r="K267" s="6" t="str">
        <f aca="false">IF(F267="","",IF(J267="Proficient","Yes","No"))</f>
        <v/>
      </c>
      <c r="L267" s="6" t="str">
        <f aca="false">IF(F267="","",INDEX({"Listening","Speaking","Reading","Writing"},MATCH(MIN(F267:I267),F267:I267,0)))</f>
        <v/>
      </c>
      <c r="M267" s="17"/>
      <c r="N267" s="6" t="str">
        <f aca="false">IF(OR(F267="",M267=""),"",ROUND(AVERAGE(F267:I267)-M267,1))</f>
        <v/>
      </c>
      <c r="O267" s="17"/>
      <c r="P267" s="17"/>
      <c r="Q267" s="17"/>
    </row>
    <row r="268" customFormat="false" ht="15" hidden="false" customHeight="tru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6" t="str">
        <f aca="false">IF(F268="","",IF(AND(F268&gt;=4,G268&gt;=4,H268&gt;=4,I268&gt;=4),"Proficient",IF(AND(F268&lt;=2,G268&lt;=2,H268&lt;=2,I268&lt;=2),"Emerging","Progressing")))</f>
        <v/>
      </c>
      <c r="K268" s="6" t="str">
        <f aca="false">IF(F268="","",IF(J268="Proficient","Yes","No"))</f>
        <v/>
      </c>
      <c r="L268" s="6" t="str">
        <f aca="false">IF(F268="","",INDEX({"Listening","Speaking","Reading","Writing"},MATCH(MIN(F268:I268),F268:I268,0)))</f>
        <v/>
      </c>
      <c r="M268" s="17"/>
      <c r="N268" s="6" t="str">
        <f aca="false">IF(OR(F268="",M268=""),"",ROUND(AVERAGE(F268:I268)-M268,1))</f>
        <v/>
      </c>
      <c r="O268" s="17"/>
      <c r="P268" s="17"/>
      <c r="Q268" s="17"/>
    </row>
    <row r="269" customFormat="false" ht="15" hidden="false" customHeight="tru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6" t="str">
        <f aca="false">IF(F269="","",IF(AND(F269&gt;=4,G269&gt;=4,H269&gt;=4,I269&gt;=4),"Proficient",IF(AND(F269&lt;=2,G269&lt;=2,H269&lt;=2,I269&lt;=2),"Emerging","Progressing")))</f>
        <v/>
      </c>
      <c r="K269" s="6" t="str">
        <f aca="false">IF(F269="","",IF(J269="Proficient","Yes","No"))</f>
        <v/>
      </c>
      <c r="L269" s="6" t="str">
        <f aca="false">IF(F269="","",INDEX({"Listening","Speaking","Reading","Writing"},MATCH(MIN(F269:I269),F269:I269,0)))</f>
        <v/>
      </c>
      <c r="M269" s="17"/>
      <c r="N269" s="6" t="str">
        <f aca="false">IF(OR(F269="",M269=""),"",ROUND(AVERAGE(F269:I269)-M269,1))</f>
        <v/>
      </c>
      <c r="O269" s="17"/>
      <c r="P269" s="17"/>
      <c r="Q269" s="17"/>
    </row>
    <row r="270" customFormat="false" ht="15" hidden="false" customHeight="tru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6" t="str">
        <f aca="false">IF(F270="","",IF(AND(F270&gt;=4,G270&gt;=4,H270&gt;=4,I270&gt;=4),"Proficient",IF(AND(F270&lt;=2,G270&lt;=2,H270&lt;=2,I270&lt;=2),"Emerging","Progressing")))</f>
        <v/>
      </c>
      <c r="K270" s="6" t="str">
        <f aca="false">IF(F270="","",IF(J270="Proficient","Yes","No"))</f>
        <v/>
      </c>
      <c r="L270" s="6" t="str">
        <f aca="false">IF(F270="","",INDEX({"Listening","Speaking","Reading","Writing"},MATCH(MIN(F270:I270),F270:I270,0)))</f>
        <v/>
      </c>
      <c r="M270" s="17"/>
      <c r="N270" s="6" t="str">
        <f aca="false">IF(OR(F270="",M270=""),"",ROUND(AVERAGE(F270:I270)-M270,1))</f>
        <v/>
      </c>
      <c r="O270" s="17"/>
      <c r="P270" s="17"/>
      <c r="Q270" s="17"/>
    </row>
    <row r="271" customFormat="false" ht="15" hidden="false" customHeight="tru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6" t="str">
        <f aca="false">IF(F271="","",IF(AND(F271&gt;=4,G271&gt;=4,H271&gt;=4,I271&gt;=4),"Proficient",IF(AND(F271&lt;=2,G271&lt;=2,H271&lt;=2,I271&lt;=2),"Emerging","Progressing")))</f>
        <v/>
      </c>
      <c r="K271" s="6" t="str">
        <f aca="false">IF(F271="","",IF(J271="Proficient","Yes","No"))</f>
        <v/>
      </c>
      <c r="L271" s="6" t="str">
        <f aca="false">IF(F271="","",INDEX({"Listening","Speaking","Reading","Writing"},MATCH(MIN(F271:I271),F271:I271,0)))</f>
        <v/>
      </c>
      <c r="M271" s="17"/>
      <c r="N271" s="6" t="str">
        <f aca="false">IF(OR(F271="",M271=""),"",ROUND(AVERAGE(F271:I271)-M271,1))</f>
        <v/>
      </c>
      <c r="O271" s="17"/>
      <c r="P271" s="17"/>
      <c r="Q271" s="17"/>
    </row>
    <row r="272" customFormat="false" ht="15" hidden="false" customHeight="tru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6" t="str">
        <f aca="false">IF(F272="","",IF(AND(F272&gt;=4,G272&gt;=4,H272&gt;=4,I272&gt;=4),"Proficient",IF(AND(F272&lt;=2,G272&lt;=2,H272&lt;=2,I272&lt;=2),"Emerging","Progressing")))</f>
        <v/>
      </c>
      <c r="K272" s="6" t="str">
        <f aca="false">IF(F272="","",IF(J272="Proficient","Yes","No"))</f>
        <v/>
      </c>
      <c r="L272" s="6" t="str">
        <f aca="false">IF(F272="","",INDEX({"Listening","Speaking","Reading","Writing"},MATCH(MIN(F272:I272),F272:I272,0)))</f>
        <v/>
      </c>
      <c r="M272" s="17"/>
      <c r="N272" s="6" t="str">
        <f aca="false">IF(OR(F272="",M272=""),"",ROUND(AVERAGE(F272:I272)-M272,1))</f>
        <v/>
      </c>
      <c r="O272" s="17"/>
      <c r="P272" s="17"/>
      <c r="Q272" s="17"/>
    </row>
    <row r="273" customFormat="false" ht="15" hidden="false" customHeight="tru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6" t="str">
        <f aca="false">IF(F273="","",IF(AND(F273&gt;=4,G273&gt;=4,H273&gt;=4,I273&gt;=4),"Proficient",IF(AND(F273&lt;=2,G273&lt;=2,H273&lt;=2,I273&lt;=2),"Emerging","Progressing")))</f>
        <v/>
      </c>
      <c r="K273" s="6" t="str">
        <f aca="false">IF(F273="","",IF(J273="Proficient","Yes","No"))</f>
        <v/>
      </c>
      <c r="L273" s="6" t="str">
        <f aca="false">IF(F273="","",INDEX({"Listening","Speaking","Reading","Writing"},MATCH(MIN(F273:I273),F273:I273,0)))</f>
        <v/>
      </c>
      <c r="M273" s="17"/>
      <c r="N273" s="6" t="str">
        <f aca="false">IF(OR(F273="",M273=""),"",ROUND(AVERAGE(F273:I273)-M273,1))</f>
        <v/>
      </c>
      <c r="O273" s="17"/>
      <c r="P273" s="17"/>
      <c r="Q273" s="17"/>
    </row>
    <row r="274" customFormat="false" ht="15" hidden="false" customHeight="tru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6" t="str">
        <f aca="false">IF(F274="","",IF(AND(F274&gt;=4,G274&gt;=4,H274&gt;=4,I274&gt;=4),"Proficient",IF(AND(F274&lt;=2,G274&lt;=2,H274&lt;=2,I274&lt;=2),"Emerging","Progressing")))</f>
        <v/>
      </c>
      <c r="K274" s="6" t="str">
        <f aca="false">IF(F274="","",IF(J274="Proficient","Yes","No"))</f>
        <v/>
      </c>
      <c r="L274" s="6" t="str">
        <f aca="false">IF(F274="","",INDEX({"Listening","Speaking","Reading","Writing"},MATCH(MIN(F274:I274),F274:I274,0)))</f>
        <v/>
      </c>
      <c r="M274" s="17"/>
      <c r="N274" s="6" t="str">
        <f aca="false">IF(OR(F274="",M274=""),"",ROUND(AVERAGE(F274:I274)-M274,1))</f>
        <v/>
      </c>
      <c r="O274" s="17"/>
      <c r="P274" s="17"/>
      <c r="Q274" s="17"/>
    </row>
    <row r="275" customFormat="false" ht="15" hidden="false" customHeight="tru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6" t="str">
        <f aca="false">IF(F275="","",IF(AND(F275&gt;=4,G275&gt;=4,H275&gt;=4,I275&gt;=4),"Proficient",IF(AND(F275&lt;=2,G275&lt;=2,H275&lt;=2,I275&lt;=2),"Emerging","Progressing")))</f>
        <v/>
      </c>
      <c r="K275" s="6" t="str">
        <f aca="false">IF(F275="","",IF(J275="Proficient","Yes","No"))</f>
        <v/>
      </c>
      <c r="L275" s="6" t="str">
        <f aca="false">IF(F275="","",INDEX({"Listening","Speaking","Reading","Writing"},MATCH(MIN(F275:I275),F275:I275,0)))</f>
        <v/>
      </c>
      <c r="M275" s="17"/>
      <c r="N275" s="6" t="str">
        <f aca="false">IF(OR(F275="",M275=""),"",ROUND(AVERAGE(F275:I275)-M275,1))</f>
        <v/>
      </c>
      <c r="O275" s="17"/>
      <c r="P275" s="17"/>
      <c r="Q275" s="17"/>
    </row>
    <row r="276" customFormat="false" ht="15" hidden="false" customHeight="tru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6" t="str">
        <f aca="false">IF(F276="","",IF(AND(F276&gt;=4,G276&gt;=4,H276&gt;=4,I276&gt;=4),"Proficient",IF(AND(F276&lt;=2,G276&lt;=2,H276&lt;=2,I276&lt;=2),"Emerging","Progressing")))</f>
        <v/>
      </c>
      <c r="K276" s="6" t="str">
        <f aca="false">IF(F276="","",IF(J276="Proficient","Yes","No"))</f>
        <v/>
      </c>
      <c r="L276" s="6" t="str">
        <f aca="false">IF(F276="","",INDEX({"Listening","Speaking","Reading","Writing"},MATCH(MIN(F276:I276),F276:I276,0)))</f>
        <v/>
      </c>
      <c r="M276" s="17"/>
      <c r="N276" s="6" t="str">
        <f aca="false">IF(OR(F276="",M276=""),"",ROUND(AVERAGE(F276:I276)-M276,1))</f>
        <v/>
      </c>
      <c r="O276" s="17"/>
      <c r="P276" s="17"/>
      <c r="Q276" s="17"/>
    </row>
    <row r="277" customFormat="false" ht="15" hidden="false" customHeight="tru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6" t="str">
        <f aca="false">IF(F277="","",IF(AND(F277&gt;=4,G277&gt;=4,H277&gt;=4,I277&gt;=4),"Proficient",IF(AND(F277&lt;=2,G277&lt;=2,H277&lt;=2,I277&lt;=2),"Emerging","Progressing")))</f>
        <v/>
      </c>
      <c r="K277" s="6" t="str">
        <f aca="false">IF(F277="","",IF(J277="Proficient","Yes","No"))</f>
        <v/>
      </c>
      <c r="L277" s="6" t="str">
        <f aca="false">IF(F277="","",INDEX({"Listening","Speaking","Reading","Writing"},MATCH(MIN(F277:I277),F277:I277,0)))</f>
        <v/>
      </c>
      <c r="M277" s="17"/>
      <c r="N277" s="6" t="str">
        <f aca="false">IF(OR(F277="",M277=""),"",ROUND(AVERAGE(F277:I277)-M277,1))</f>
        <v/>
      </c>
      <c r="O277" s="17"/>
      <c r="P277" s="17"/>
      <c r="Q277" s="17"/>
    </row>
    <row r="278" customFormat="false" ht="15" hidden="false" customHeight="tru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6" t="str">
        <f aca="false">IF(F278="","",IF(AND(F278&gt;=4,G278&gt;=4,H278&gt;=4,I278&gt;=4),"Proficient",IF(AND(F278&lt;=2,G278&lt;=2,H278&lt;=2,I278&lt;=2),"Emerging","Progressing")))</f>
        <v/>
      </c>
      <c r="K278" s="6" t="str">
        <f aca="false">IF(F278="","",IF(J278="Proficient","Yes","No"))</f>
        <v/>
      </c>
      <c r="L278" s="6" t="str">
        <f aca="false">IF(F278="","",INDEX({"Listening","Speaking","Reading","Writing"},MATCH(MIN(F278:I278),F278:I278,0)))</f>
        <v/>
      </c>
      <c r="M278" s="17"/>
      <c r="N278" s="6" t="str">
        <f aca="false">IF(OR(F278="",M278=""),"",ROUND(AVERAGE(F278:I278)-M278,1))</f>
        <v/>
      </c>
      <c r="O278" s="17"/>
      <c r="P278" s="17"/>
      <c r="Q278" s="17"/>
    </row>
    <row r="279" customFormat="false" ht="15" hidden="false" customHeight="tru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6" t="str">
        <f aca="false">IF(F279="","",IF(AND(F279&gt;=4,G279&gt;=4,H279&gt;=4,I279&gt;=4),"Proficient",IF(AND(F279&lt;=2,G279&lt;=2,H279&lt;=2,I279&lt;=2),"Emerging","Progressing")))</f>
        <v/>
      </c>
      <c r="K279" s="6" t="str">
        <f aca="false">IF(F279="","",IF(J279="Proficient","Yes","No"))</f>
        <v/>
      </c>
      <c r="L279" s="6" t="str">
        <f aca="false">IF(F279="","",INDEX({"Listening","Speaking","Reading","Writing"},MATCH(MIN(F279:I279),F279:I279,0)))</f>
        <v/>
      </c>
      <c r="M279" s="17"/>
      <c r="N279" s="6" t="str">
        <f aca="false">IF(OR(F279="",M279=""),"",ROUND(AVERAGE(F279:I279)-M279,1))</f>
        <v/>
      </c>
      <c r="O279" s="17"/>
      <c r="P279" s="17"/>
      <c r="Q279" s="17"/>
    </row>
    <row r="280" customFormat="false" ht="15" hidden="false" customHeight="tru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6" t="str">
        <f aca="false">IF(F280="","",IF(AND(F280&gt;=4,G280&gt;=4,H280&gt;=4,I280&gt;=4),"Proficient",IF(AND(F280&lt;=2,G280&lt;=2,H280&lt;=2,I280&lt;=2),"Emerging","Progressing")))</f>
        <v/>
      </c>
      <c r="K280" s="6" t="str">
        <f aca="false">IF(F280="","",IF(J280="Proficient","Yes","No"))</f>
        <v/>
      </c>
      <c r="L280" s="6" t="str">
        <f aca="false">IF(F280="","",INDEX({"Listening","Speaking","Reading","Writing"},MATCH(MIN(F280:I280),F280:I280,0)))</f>
        <v/>
      </c>
      <c r="M280" s="17"/>
      <c r="N280" s="6" t="str">
        <f aca="false">IF(OR(F280="",M280=""),"",ROUND(AVERAGE(F280:I280)-M280,1))</f>
        <v/>
      </c>
      <c r="O280" s="17"/>
      <c r="P280" s="17"/>
      <c r="Q280" s="17"/>
    </row>
    <row r="281" customFormat="false" ht="15" hidden="false" customHeight="tru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6" t="str">
        <f aca="false">IF(F281="","",IF(AND(F281&gt;=4,G281&gt;=4,H281&gt;=4,I281&gt;=4),"Proficient",IF(AND(F281&lt;=2,G281&lt;=2,H281&lt;=2,I281&lt;=2),"Emerging","Progressing")))</f>
        <v/>
      </c>
      <c r="K281" s="6" t="str">
        <f aca="false">IF(F281="","",IF(J281="Proficient","Yes","No"))</f>
        <v/>
      </c>
      <c r="L281" s="6" t="str">
        <f aca="false">IF(F281="","",INDEX({"Listening","Speaking","Reading","Writing"},MATCH(MIN(F281:I281),F281:I281,0)))</f>
        <v/>
      </c>
      <c r="M281" s="17"/>
      <c r="N281" s="6" t="str">
        <f aca="false">IF(OR(F281="",M281=""),"",ROUND(AVERAGE(F281:I281)-M281,1))</f>
        <v/>
      </c>
      <c r="O281" s="17"/>
      <c r="P281" s="17"/>
      <c r="Q281" s="17"/>
    </row>
    <row r="282" customFormat="false" ht="15" hidden="false" customHeight="tru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6" t="str">
        <f aca="false">IF(F282="","",IF(AND(F282&gt;=4,G282&gt;=4,H282&gt;=4,I282&gt;=4),"Proficient",IF(AND(F282&lt;=2,G282&lt;=2,H282&lt;=2,I282&lt;=2),"Emerging","Progressing")))</f>
        <v/>
      </c>
      <c r="K282" s="6" t="str">
        <f aca="false">IF(F282="","",IF(J282="Proficient","Yes","No"))</f>
        <v/>
      </c>
      <c r="L282" s="6" t="str">
        <f aca="false">IF(F282="","",INDEX({"Listening","Speaking","Reading","Writing"},MATCH(MIN(F282:I282),F282:I282,0)))</f>
        <v/>
      </c>
      <c r="M282" s="17"/>
      <c r="N282" s="6" t="str">
        <f aca="false">IF(OR(F282="",M282=""),"",ROUND(AVERAGE(F282:I282)-M282,1))</f>
        <v/>
      </c>
      <c r="O282" s="17"/>
      <c r="P282" s="17"/>
      <c r="Q282" s="17"/>
    </row>
    <row r="283" customFormat="false" ht="15" hidden="false" customHeight="tru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6" t="str">
        <f aca="false">IF(F283="","",IF(AND(F283&gt;=4,G283&gt;=4,H283&gt;=4,I283&gt;=4),"Proficient",IF(AND(F283&lt;=2,G283&lt;=2,H283&lt;=2,I283&lt;=2),"Emerging","Progressing")))</f>
        <v/>
      </c>
      <c r="K283" s="6" t="str">
        <f aca="false">IF(F283="","",IF(J283="Proficient","Yes","No"))</f>
        <v/>
      </c>
      <c r="L283" s="6" t="str">
        <f aca="false">IF(F283="","",INDEX({"Listening","Speaking","Reading","Writing"},MATCH(MIN(F283:I283),F283:I283,0)))</f>
        <v/>
      </c>
      <c r="M283" s="17"/>
      <c r="N283" s="6" t="str">
        <f aca="false">IF(OR(F283="",M283=""),"",ROUND(AVERAGE(F283:I283)-M283,1))</f>
        <v/>
      </c>
      <c r="O283" s="17"/>
      <c r="P283" s="17"/>
      <c r="Q283" s="17"/>
    </row>
    <row r="284" customFormat="false" ht="15" hidden="false" customHeight="tru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6" t="str">
        <f aca="false">IF(F284="","",IF(AND(F284&gt;=4,G284&gt;=4,H284&gt;=4,I284&gt;=4),"Proficient",IF(AND(F284&lt;=2,G284&lt;=2,H284&lt;=2,I284&lt;=2),"Emerging","Progressing")))</f>
        <v/>
      </c>
      <c r="K284" s="6" t="str">
        <f aca="false">IF(F284="","",IF(J284="Proficient","Yes","No"))</f>
        <v/>
      </c>
      <c r="L284" s="6" t="str">
        <f aca="false">IF(F284="","",INDEX({"Listening","Speaking","Reading","Writing"},MATCH(MIN(F284:I284),F284:I284,0)))</f>
        <v/>
      </c>
      <c r="M284" s="17"/>
      <c r="N284" s="6" t="str">
        <f aca="false">IF(OR(F284="",M284=""),"",ROUND(AVERAGE(F284:I284)-M284,1))</f>
        <v/>
      </c>
      <c r="O284" s="17"/>
      <c r="P284" s="17"/>
      <c r="Q284" s="17"/>
    </row>
    <row r="285" customFormat="false" ht="15" hidden="false" customHeight="tru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6" t="str">
        <f aca="false">IF(F285="","",IF(AND(F285&gt;=4,G285&gt;=4,H285&gt;=4,I285&gt;=4),"Proficient",IF(AND(F285&lt;=2,G285&lt;=2,H285&lt;=2,I285&lt;=2),"Emerging","Progressing")))</f>
        <v/>
      </c>
      <c r="K285" s="6" t="str">
        <f aca="false">IF(F285="","",IF(J285="Proficient","Yes","No"))</f>
        <v/>
      </c>
      <c r="L285" s="6" t="str">
        <f aca="false">IF(F285="","",INDEX({"Listening","Speaking","Reading","Writing"},MATCH(MIN(F285:I285),F285:I285,0)))</f>
        <v/>
      </c>
      <c r="M285" s="17"/>
      <c r="N285" s="6" t="str">
        <f aca="false">IF(OR(F285="",M285=""),"",ROUND(AVERAGE(F285:I285)-M285,1))</f>
        <v/>
      </c>
      <c r="O285" s="17"/>
      <c r="P285" s="17"/>
      <c r="Q285" s="17"/>
    </row>
    <row r="286" customFormat="false" ht="15" hidden="false" customHeight="tru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6" t="str">
        <f aca="false">IF(F286="","",IF(AND(F286&gt;=4,G286&gt;=4,H286&gt;=4,I286&gt;=4),"Proficient",IF(AND(F286&lt;=2,G286&lt;=2,H286&lt;=2,I286&lt;=2),"Emerging","Progressing")))</f>
        <v/>
      </c>
      <c r="K286" s="6" t="str">
        <f aca="false">IF(F286="","",IF(J286="Proficient","Yes","No"))</f>
        <v/>
      </c>
      <c r="L286" s="6" t="str">
        <f aca="false">IF(F286="","",INDEX({"Listening","Speaking","Reading","Writing"},MATCH(MIN(F286:I286),F286:I286,0)))</f>
        <v/>
      </c>
      <c r="M286" s="17"/>
      <c r="N286" s="6" t="str">
        <f aca="false">IF(OR(F286="",M286=""),"",ROUND(AVERAGE(F286:I286)-M286,1))</f>
        <v/>
      </c>
      <c r="O286" s="17"/>
      <c r="P286" s="17"/>
      <c r="Q286" s="17"/>
    </row>
    <row r="287" customFormat="false" ht="15" hidden="false" customHeight="tru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6" t="str">
        <f aca="false">IF(F287="","",IF(AND(F287&gt;=4,G287&gt;=4,H287&gt;=4,I287&gt;=4),"Proficient",IF(AND(F287&lt;=2,G287&lt;=2,H287&lt;=2,I287&lt;=2),"Emerging","Progressing")))</f>
        <v/>
      </c>
      <c r="K287" s="6" t="str">
        <f aca="false">IF(F287="","",IF(J287="Proficient","Yes","No"))</f>
        <v/>
      </c>
      <c r="L287" s="6" t="str">
        <f aca="false">IF(F287="","",INDEX({"Listening","Speaking","Reading","Writing"},MATCH(MIN(F287:I287),F287:I287,0)))</f>
        <v/>
      </c>
      <c r="M287" s="17"/>
      <c r="N287" s="6" t="str">
        <f aca="false">IF(OR(F287="",M287=""),"",ROUND(AVERAGE(F287:I287)-M287,1))</f>
        <v/>
      </c>
      <c r="O287" s="17"/>
      <c r="P287" s="17"/>
      <c r="Q287" s="17"/>
    </row>
    <row r="288" customFormat="false" ht="15" hidden="false" customHeight="tru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6" t="str">
        <f aca="false">IF(F288="","",IF(AND(F288&gt;=4,G288&gt;=4,H288&gt;=4,I288&gt;=4),"Proficient",IF(AND(F288&lt;=2,G288&lt;=2,H288&lt;=2,I288&lt;=2),"Emerging","Progressing")))</f>
        <v/>
      </c>
      <c r="K288" s="6" t="str">
        <f aca="false">IF(F288="","",IF(J288="Proficient","Yes","No"))</f>
        <v/>
      </c>
      <c r="L288" s="6" t="str">
        <f aca="false">IF(F288="","",INDEX({"Listening","Speaking","Reading","Writing"},MATCH(MIN(F288:I288),F288:I288,0)))</f>
        <v/>
      </c>
      <c r="M288" s="17"/>
      <c r="N288" s="6" t="str">
        <f aca="false">IF(OR(F288="",M288=""),"",ROUND(AVERAGE(F288:I288)-M288,1))</f>
        <v/>
      </c>
      <c r="O288" s="17"/>
      <c r="P288" s="17"/>
      <c r="Q288" s="17"/>
    </row>
    <row r="289" customFormat="false" ht="15" hidden="false" customHeight="tru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6" t="str">
        <f aca="false">IF(F289="","",IF(AND(F289&gt;=4,G289&gt;=4,H289&gt;=4,I289&gt;=4),"Proficient",IF(AND(F289&lt;=2,G289&lt;=2,H289&lt;=2,I289&lt;=2),"Emerging","Progressing")))</f>
        <v/>
      </c>
      <c r="K289" s="6" t="str">
        <f aca="false">IF(F289="","",IF(J289="Proficient","Yes","No"))</f>
        <v/>
      </c>
      <c r="L289" s="6" t="str">
        <f aca="false">IF(F289="","",INDEX({"Listening","Speaking","Reading","Writing"},MATCH(MIN(F289:I289),F289:I289,0)))</f>
        <v/>
      </c>
      <c r="M289" s="17"/>
      <c r="N289" s="6" t="str">
        <f aca="false">IF(OR(F289="",M289=""),"",ROUND(AVERAGE(F289:I289)-M289,1))</f>
        <v/>
      </c>
      <c r="O289" s="17"/>
      <c r="P289" s="17"/>
      <c r="Q289" s="17"/>
    </row>
    <row r="290" customFormat="false" ht="15" hidden="false" customHeight="tru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6" t="str">
        <f aca="false">IF(F290="","",IF(AND(F290&gt;=4,G290&gt;=4,H290&gt;=4,I290&gt;=4),"Proficient",IF(AND(F290&lt;=2,G290&lt;=2,H290&lt;=2,I290&lt;=2),"Emerging","Progressing")))</f>
        <v/>
      </c>
      <c r="K290" s="6" t="str">
        <f aca="false">IF(F290="","",IF(J290="Proficient","Yes","No"))</f>
        <v/>
      </c>
      <c r="L290" s="6" t="str">
        <f aca="false">IF(F290="","",INDEX({"Listening","Speaking","Reading","Writing"},MATCH(MIN(F290:I290),F290:I290,0)))</f>
        <v/>
      </c>
      <c r="M290" s="17"/>
      <c r="N290" s="6" t="str">
        <f aca="false">IF(OR(F290="",M290=""),"",ROUND(AVERAGE(F290:I290)-M290,1))</f>
        <v/>
      </c>
      <c r="O290" s="17"/>
      <c r="P290" s="17"/>
      <c r="Q290" s="17"/>
    </row>
    <row r="291" customFormat="false" ht="15" hidden="false" customHeight="tru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6" t="str">
        <f aca="false">IF(F291="","",IF(AND(F291&gt;=4,G291&gt;=4,H291&gt;=4,I291&gt;=4),"Proficient",IF(AND(F291&lt;=2,G291&lt;=2,H291&lt;=2,I291&lt;=2),"Emerging","Progressing")))</f>
        <v/>
      </c>
      <c r="K291" s="6" t="str">
        <f aca="false">IF(F291="","",IF(J291="Proficient","Yes","No"))</f>
        <v/>
      </c>
      <c r="L291" s="6" t="str">
        <f aca="false">IF(F291="","",INDEX({"Listening","Speaking","Reading","Writing"},MATCH(MIN(F291:I291),F291:I291,0)))</f>
        <v/>
      </c>
      <c r="M291" s="17"/>
      <c r="N291" s="6" t="str">
        <f aca="false">IF(OR(F291="",M291=""),"",ROUND(AVERAGE(F291:I291)-M291,1))</f>
        <v/>
      </c>
      <c r="O291" s="17"/>
      <c r="P291" s="17"/>
      <c r="Q291" s="17"/>
    </row>
    <row r="292" customFormat="false" ht="15" hidden="false" customHeight="tru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6" t="str">
        <f aca="false">IF(F292="","",IF(AND(F292&gt;=4,G292&gt;=4,H292&gt;=4,I292&gt;=4),"Proficient",IF(AND(F292&lt;=2,G292&lt;=2,H292&lt;=2,I292&lt;=2),"Emerging","Progressing")))</f>
        <v/>
      </c>
      <c r="K292" s="6" t="str">
        <f aca="false">IF(F292="","",IF(J292="Proficient","Yes","No"))</f>
        <v/>
      </c>
      <c r="L292" s="6" t="str">
        <f aca="false">IF(F292="","",INDEX({"Listening","Speaking","Reading","Writing"},MATCH(MIN(F292:I292),F292:I292,0)))</f>
        <v/>
      </c>
      <c r="M292" s="17"/>
      <c r="N292" s="6" t="str">
        <f aca="false">IF(OR(F292="",M292=""),"",ROUND(AVERAGE(F292:I292)-M292,1))</f>
        <v/>
      </c>
      <c r="O292" s="17"/>
      <c r="P292" s="17"/>
      <c r="Q292" s="17"/>
    </row>
    <row r="293" customFormat="false" ht="15" hidden="false" customHeight="tru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6" t="str">
        <f aca="false">IF(F293="","",IF(AND(F293&gt;=4,G293&gt;=4,H293&gt;=4,I293&gt;=4),"Proficient",IF(AND(F293&lt;=2,G293&lt;=2,H293&lt;=2,I293&lt;=2),"Emerging","Progressing")))</f>
        <v/>
      </c>
      <c r="K293" s="6" t="str">
        <f aca="false">IF(F293="","",IF(J293="Proficient","Yes","No"))</f>
        <v/>
      </c>
      <c r="L293" s="6" t="str">
        <f aca="false">IF(F293="","",INDEX({"Listening","Speaking","Reading","Writing"},MATCH(MIN(F293:I293),F293:I293,0)))</f>
        <v/>
      </c>
      <c r="M293" s="17"/>
      <c r="N293" s="6" t="str">
        <f aca="false">IF(OR(F293="",M293=""),"",ROUND(AVERAGE(F293:I293)-M293,1))</f>
        <v/>
      </c>
      <c r="O293" s="17"/>
      <c r="P293" s="17"/>
      <c r="Q293" s="17"/>
    </row>
    <row r="294" customFormat="false" ht="15" hidden="false" customHeight="tru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6" t="str">
        <f aca="false">IF(F294="","",IF(AND(F294&gt;=4,G294&gt;=4,H294&gt;=4,I294&gt;=4),"Proficient",IF(AND(F294&lt;=2,G294&lt;=2,H294&lt;=2,I294&lt;=2),"Emerging","Progressing")))</f>
        <v/>
      </c>
      <c r="K294" s="6" t="str">
        <f aca="false">IF(F294="","",IF(J294="Proficient","Yes","No"))</f>
        <v/>
      </c>
      <c r="L294" s="6" t="str">
        <f aca="false">IF(F294="","",INDEX({"Listening","Speaking","Reading","Writing"},MATCH(MIN(F294:I294),F294:I294,0)))</f>
        <v/>
      </c>
      <c r="M294" s="17"/>
      <c r="N294" s="6" t="str">
        <f aca="false">IF(OR(F294="",M294=""),"",ROUND(AVERAGE(F294:I294)-M294,1))</f>
        <v/>
      </c>
      <c r="O294" s="17"/>
      <c r="P294" s="17"/>
      <c r="Q294" s="17"/>
    </row>
    <row r="295" customFormat="false" ht="15" hidden="false" customHeight="tru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6" t="str">
        <f aca="false">IF(F295="","",IF(AND(F295&gt;=4,G295&gt;=4,H295&gt;=4,I295&gt;=4),"Proficient",IF(AND(F295&lt;=2,G295&lt;=2,H295&lt;=2,I295&lt;=2),"Emerging","Progressing")))</f>
        <v/>
      </c>
      <c r="K295" s="6" t="str">
        <f aca="false">IF(F295="","",IF(J295="Proficient","Yes","No"))</f>
        <v/>
      </c>
      <c r="L295" s="6" t="str">
        <f aca="false">IF(F295="","",INDEX({"Listening","Speaking","Reading","Writing"},MATCH(MIN(F295:I295),F295:I295,0)))</f>
        <v/>
      </c>
      <c r="M295" s="17"/>
      <c r="N295" s="6" t="str">
        <f aca="false">IF(OR(F295="",M295=""),"",ROUND(AVERAGE(F295:I295)-M295,1))</f>
        <v/>
      </c>
      <c r="O295" s="17"/>
      <c r="P295" s="17"/>
      <c r="Q295" s="17"/>
    </row>
    <row r="296" customFormat="false" ht="15" hidden="false" customHeight="tru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6" t="str">
        <f aca="false">IF(F296="","",IF(AND(F296&gt;=4,G296&gt;=4,H296&gt;=4,I296&gt;=4),"Proficient",IF(AND(F296&lt;=2,G296&lt;=2,H296&lt;=2,I296&lt;=2),"Emerging","Progressing")))</f>
        <v/>
      </c>
      <c r="K296" s="6" t="str">
        <f aca="false">IF(F296="","",IF(J296="Proficient","Yes","No"))</f>
        <v/>
      </c>
      <c r="L296" s="6" t="str">
        <f aca="false">IF(F296="","",INDEX({"Listening","Speaking","Reading","Writing"},MATCH(MIN(F296:I296),F296:I296,0)))</f>
        <v/>
      </c>
      <c r="M296" s="17"/>
      <c r="N296" s="6" t="str">
        <f aca="false">IF(OR(F296="",M296=""),"",ROUND(AVERAGE(F296:I296)-M296,1))</f>
        <v/>
      </c>
      <c r="O296" s="17"/>
      <c r="P296" s="17"/>
      <c r="Q296" s="17"/>
    </row>
    <row r="297" customFormat="false" ht="15" hidden="false" customHeight="tru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6" t="str">
        <f aca="false">IF(F297="","",IF(AND(F297&gt;=4,G297&gt;=4,H297&gt;=4,I297&gt;=4),"Proficient",IF(AND(F297&lt;=2,G297&lt;=2,H297&lt;=2,I297&lt;=2),"Emerging","Progressing")))</f>
        <v/>
      </c>
      <c r="K297" s="6" t="str">
        <f aca="false">IF(F297="","",IF(J297="Proficient","Yes","No"))</f>
        <v/>
      </c>
      <c r="L297" s="6" t="str">
        <f aca="false">IF(F297="","",INDEX({"Listening","Speaking","Reading","Writing"},MATCH(MIN(F297:I297),F297:I297,0)))</f>
        <v/>
      </c>
      <c r="M297" s="17"/>
      <c r="N297" s="6" t="str">
        <f aca="false">IF(OR(F297="",M297=""),"",ROUND(AVERAGE(F297:I297)-M297,1))</f>
        <v/>
      </c>
      <c r="O297" s="17"/>
      <c r="P297" s="17"/>
      <c r="Q297" s="17"/>
    </row>
    <row r="298" customFormat="false" ht="15" hidden="false" customHeight="tru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6" t="str">
        <f aca="false">IF(F298="","",IF(AND(F298&gt;=4,G298&gt;=4,H298&gt;=4,I298&gt;=4),"Proficient",IF(AND(F298&lt;=2,G298&lt;=2,H298&lt;=2,I298&lt;=2),"Emerging","Progressing")))</f>
        <v/>
      </c>
      <c r="K298" s="6" t="str">
        <f aca="false">IF(F298="","",IF(J298="Proficient","Yes","No"))</f>
        <v/>
      </c>
      <c r="L298" s="6" t="str">
        <f aca="false">IF(F298="","",INDEX({"Listening","Speaking","Reading","Writing"},MATCH(MIN(F298:I298),F298:I298,0)))</f>
        <v/>
      </c>
      <c r="M298" s="17"/>
      <c r="N298" s="6" t="str">
        <f aca="false">IF(OR(F298="",M298=""),"",ROUND(AVERAGE(F298:I298)-M298,1))</f>
        <v/>
      </c>
      <c r="O298" s="17"/>
      <c r="P298" s="17"/>
      <c r="Q298" s="17"/>
    </row>
    <row r="299" customFormat="false" ht="15" hidden="false" customHeight="tru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6" t="str">
        <f aca="false">IF(F299="","",IF(AND(F299&gt;=4,G299&gt;=4,H299&gt;=4,I299&gt;=4),"Proficient",IF(AND(F299&lt;=2,G299&lt;=2,H299&lt;=2,I299&lt;=2),"Emerging","Progressing")))</f>
        <v/>
      </c>
      <c r="K299" s="6" t="str">
        <f aca="false">IF(F299="","",IF(J299="Proficient","Yes","No"))</f>
        <v/>
      </c>
      <c r="L299" s="6" t="str">
        <f aca="false">IF(F299="","",INDEX({"Listening","Speaking","Reading","Writing"},MATCH(MIN(F299:I299),F299:I299,0)))</f>
        <v/>
      </c>
      <c r="M299" s="17"/>
      <c r="N299" s="6" t="str">
        <f aca="false">IF(OR(F299="",M299=""),"",ROUND(AVERAGE(F299:I299)-M299,1))</f>
        <v/>
      </c>
      <c r="O299" s="17"/>
      <c r="P299" s="17"/>
      <c r="Q299" s="17"/>
    </row>
    <row r="300" customFormat="false" ht="15" hidden="false" customHeight="tru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6" t="str">
        <f aca="false">IF(F300="","",IF(AND(F300&gt;=4,G300&gt;=4,H300&gt;=4,I300&gt;=4),"Proficient",IF(AND(F300&lt;=2,G300&lt;=2,H300&lt;=2,I300&lt;=2),"Emerging","Progressing")))</f>
        <v/>
      </c>
      <c r="K300" s="6" t="str">
        <f aca="false">IF(F300="","",IF(J300="Proficient","Yes","No"))</f>
        <v/>
      </c>
      <c r="L300" s="6" t="str">
        <f aca="false">IF(F300="","",INDEX({"Listening","Speaking","Reading","Writing"},MATCH(MIN(F300:I300),F300:I300,0)))</f>
        <v/>
      </c>
      <c r="M300" s="17"/>
      <c r="N300" s="6" t="str">
        <f aca="false">IF(OR(F300="",M300=""),"",ROUND(AVERAGE(F300:I300)-M300,1))</f>
        <v/>
      </c>
      <c r="O300" s="17"/>
      <c r="P300" s="17"/>
      <c r="Q300" s="17"/>
    </row>
    <row r="301" customFormat="false" ht="15" hidden="false" customHeight="tru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6" t="str">
        <f aca="false">IF(F301="","",IF(AND(F301&gt;=4,G301&gt;=4,H301&gt;=4,I301&gt;=4),"Proficient",IF(AND(F301&lt;=2,G301&lt;=2,H301&lt;=2,I301&lt;=2),"Emerging","Progressing")))</f>
        <v/>
      </c>
      <c r="K301" s="6" t="str">
        <f aca="false">IF(F301="","",IF(J301="Proficient","Yes","No"))</f>
        <v/>
      </c>
      <c r="L301" s="6" t="str">
        <f aca="false">IF(F301="","",INDEX({"Listening","Speaking","Reading","Writing"},MATCH(MIN(F301:I301),F301:I301,0)))</f>
        <v/>
      </c>
      <c r="M301" s="17"/>
      <c r="N301" s="6" t="str">
        <f aca="false">IF(OR(F301="",M301=""),"",ROUND(AVERAGE(F301:I301)-M301,1))</f>
        <v/>
      </c>
      <c r="O301" s="17"/>
      <c r="P301" s="17"/>
      <c r="Q301" s="17"/>
    </row>
    <row r="302" customFormat="false" ht="15" hidden="false" customHeight="tru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6" t="str">
        <f aca="false">IF(F302="","",IF(AND(F302&gt;=4,G302&gt;=4,H302&gt;=4,I302&gt;=4),"Proficient",IF(AND(F302&lt;=2,G302&lt;=2,H302&lt;=2,I302&lt;=2),"Emerging","Progressing")))</f>
        <v/>
      </c>
      <c r="K302" s="6" t="str">
        <f aca="false">IF(F302="","",IF(J302="Proficient","Yes","No"))</f>
        <v/>
      </c>
      <c r="L302" s="6" t="str">
        <f aca="false">IF(F302="","",INDEX({"Listening","Speaking","Reading","Writing"},MATCH(MIN(F302:I302),F302:I302,0)))</f>
        <v/>
      </c>
      <c r="M302" s="17"/>
      <c r="N302" s="6" t="str">
        <f aca="false">IF(OR(F302="",M302=""),"",ROUND(AVERAGE(F302:I302)-M302,1))</f>
        <v/>
      </c>
      <c r="O302" s="17"/>
      <c r="P302" s="17"/>
      <c r="Q302" s="17"/>
    </row>
    <row r="303" customFormat="false" ht="15" hidden="false" customHeight="tru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6" t="str">
        <f aca="false">IF(F303="","",IF(AND(F303&gt;=4,G303&gt;=4,H303&gt;=4,I303&gt;=4),"Proficient",IF(AND(F303&lt;=2,G303&lt;=2,H303&lt;=2,I303&lt;=2),"Emerging","Progressing")))</f>
        <v/>
      </c>
      <c r="K303" s="6" t="str">
        <f aca="false">IF(F303="","",IF(J303="Proficient","Yes","No"))</f>
        <v/>
      </c>
      <c r="L303" s="6" t="str">
        <f aca="false">IF(F303="","",INDEX({"Listening","Speaking","Reading","Writing"},MATCH(MIN(F303:I303),F303:I303,0)))</f>
        <v/>
      </c>
      <c r="M303" s="17"/>
      <c r="N303" s="6" t="str">
        <f aca="false">IF(OR(F303="",M303=""),"",ROUND(AVERAGE(F303:I303)-M303,1))</f>
        <v/>
      </c>
      <c r="O303" s="17"/>
      <c r="P303" s="17"/>
      <c r="Q303" s="17"/>
    </row>
    <row r="304" customFormat="false" ht="15" hidden="false" customHeight="tru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6" t="str">
        <f aca="false">IF(F304="","",IF(AND(F304&gt;=4,G304&gt;=4,H304&gt;=4,I304&gt;=4),"Proficient",IF(AND(F304&lt;=2,G304&lt;=2,H304&lt;=2,I304&lt;=2),"Emerging","Progressing")))</f>
        <v/>
      </c>
      <c r="K304" s="6" t="str">
        <f aca="false">IF(F304="","",IF(J304="Proficient","Yes","No"))</f>
        <v/>
      </c>
      <c r="L304" s="6" t="str">
        <f aca="false">IF(F304="","",INDEX({"Listening","Speaking","Reading","Writing"},MATCH(MIN(F304:I304),F304:I304,0)))</f>
        <v/>
      </c>
      <c r="M304" s="17"/>
      <c r="N304" s="6" t="str">
        <f aca="false">IF(OR(F304="",M304=""),"",ROUND(AVERAGE(F304:I304)-M304,1))</f>
        <v/>
      </c>
      <c r="O304" s="17"/>
      <c r="P304" s="17"/>
      <c r="Q304" s="17"/>
    </row>
    <row r="305" customFormat="false" ht="15" hidden="false" customHeight="tru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6" t="str">
        <f aca="false">IF(F305="","",IF(AND(F305&gt;=4,G305&gt;=4,H305&gt;=4,I305&gt;=4),"Proficient",IF(AND(F305&lt;=2,G305&lt;=2,H305&lt;=2,I305&lt;=2),"Emerging","Progressing")))</f>
        <v/>
      </c>
      <c r="K305" s="6" t="str">
        <f aca="false">IF(F305="","",IF(J305="Proficient","Yes","No"))</f>
        <v/>
      </c>
      <c r="L305" s="6" t="str">
        <f aca="false">IF(F305="","",INDEX({"Listening","Speaking","Reading","Writing"},MATCH(MIN(F305:I305),F305:I305,0)))</f>
        <v/>
      </c>
      <c r="M305" s="17"/>
      <c r="N305" s="6" t="str">
        <f aca="false">IF(OR(F305="",M305=""),"",ROUND(AVERAGE(F305:I305)-M305,1))</f>
        <v/>
      </c>
      <c r="O305" s="17"/>
      <c r="P305" s="17"/>
      <c r="Q305" s="17"/>
    </row>
    <row r="306" customFormat="false" ht="15" hidden="false" customHeight="tru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6" t="str">
        <f aca="false">IF(F306="","",IF(AND(F306&gt;=4,G306&gt;=4,H306&gt;=4,I306&gt;=4),"Proficient",IF(AND(F306&lt;=2,G306&lt;=2,H306&lt;=2,I306&lt;=2),"Emerging","Progressing")))</f>
        <v/>
      </c>
      <c r="K306" s="6" t="str">
        <f aca="false">IF(F306="","",IF(J306="Proficient","Yes","No"))</f>
        <v/>
      </c>
      <c r="L306" s="6" t="str">
        <f aca="false">IF(F306="","",INDEX({"Listening","Speaking","Reading","Writing"},MATCH(MIN(F306:I306),F306:I306,0)))</f>
        <v/>
      </c>
      <c r="M306" s="17"/>
      <c r="N306" s="6" t="str">
        <f aca="false">IF(OR(F306="",M306=""),"",ROUND(AVERAGE(F306:I306)-M306,1))</f>
        <v/>
      </c>
      <c r="O306" s="17"/>
      <c r="P306" s="17"/>
      <c r="Q306" s="17"/>
    </row>
    <row r="307" customFormat="false" ht="15" hidden="false" customHeight="tru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6" t="str">
        <f aca="false">IF(F307="","",IF(AND(F307&gt;=4,G307&gt;=4,H307&gt;=4,I307&gt;=4),"Proficient",IF(AND(F307&lt;=2,G307&lt;=2,H307&lt;=2,I307&lt;=2),"Emerging","Progressing")))</f>
        <v/>
      </c>
      <c r="K307" s="6" t="str">
        <f aca="false">IF(F307="","",IF(J307="Proficient","Yes","No"))</f>
        <v/>
      </c>
      <c r="L307" s="6" t="str">
        <f aca="false">IF(F307="","",INDEX({"Listening","Speaking","Reading","Writing"},MATCH(MIN(F307:I307),F307:I307,0)))</f>
        <v/>
      </c>
      <c r="M307" s="17"/>
      <c r="N307" s="6" t="str">
        <f aca="false">IF(OR(F307="",M307=""),"",ROUND(AVERAGE(F307:I307)-M307,1))</f>
        <v/>
      </c>
      <c r="O307" s="17"/>
      <c r="P307" s="17"/>
      <c r="Q307" s="17"/>
    </row>
    <row r="308" customFormat="false" ht="15" hidden="false" customHeight="tru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6" t="str">
        <f aca="false">IF(F308="","",IF(AND(F308&gt;=4,G308&gt;=4,H308&gt;=4,I308&gt;=4),"Proficient",IF(AND(F308&lt;=2,G308&lt;=2,H308&lt;=2,I308&lt;=2),"Emerging","Progressing")))</f>
        <v/>
      </c>
      <c r="K308" s="6" t="str">
        <f aca="false">IF(F308="","",IF(J308="Proficient","Yes","No"))</f>
        <v/>
      </c>
      <c r="L308" s="6" t="str">
        <f aca="false">IF(F308="","",INDEX({"Listening","Speaking","Reading","Writing"},MATCH(MIN(F308:I308),F308:I308,0)))</f>
        <v/>
      </c>
      <c r="M308" s="17"/>
      <c r="N308" s="6" t="str">
        <f aca="false">IF(OR(F308="",M308=""),"",ROUND(AVERAGE(F308:I308)-M308,1))</f>
        <v/>
      </c>
      <c r="O308" s="17"/>
      <c r="P308" s="17"/>
      <c r="Q308" s="17"/>
    </row>
    <row r="309" customFormat="false" ht="15" hidden="false" customHeight="tru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6" t="str">
        <f aca="false">IF(F309="","",IF(AND(F309&gt;=4,G309&gt;=4,H309&gt;=4,I309&gt;=4),"Proficient",IF(AND(F309&lt;=2,G309&lt;=2,H309&lt;=2,I309&lt;=2),"Emerging","Progressing")))</f>
        <v/>
      </c>
      <c r="K309" s="6" t="str">
        <f aca="false">IF(F309="","",IF(J309="Proficient","Yes","No"))</f>
        <v/>
      </c>
      <c r="L309" s="6" t="str">
        <f aca="false">IF(F309="","",INDEX({"Listening","Speaking","Reading","Writing"},MATCH(MIN(F309:I309),F309:I309,0)))</f>
        <v/>
      </c>
      <c r="M309" s="17"/>
      <c r="N309" s="6" t="str">
        <f aca="false">IF(OR(F309="",M309=""),"",ROUND(AVERAGE(F309:I309)-M309,1))</f>
        <v/>
      </c>
      <c r="O309" s="17"/>
      <c r="P309" s="17"/>
      <c r="Q309" s="17"/>
    </row>
    <row r="310" customFormat="false" ht="15" hidden="false" customHeight="tru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6" t="str">
        <f aca="false">IF(F310="","",IF(AND(F310&gt;=4,G310&gt;=4,H310&gt;=4,I310&gt;=4),"Proficient",IF(AND(F310&lt;=2,G310&lt;=2,H310&lt;=2,I310&lt;=2),"Emerging","Progressing")))</f>
        <v/>
      </c>
      <c r="K310" s="6" t="str">
        <f aca="false">IF(F310="","",IF(J310="Proficient","Yes","No"))</f>
        <v/>
      </c>
      <c r="L310" s="6" t="str">
        <f aca="false">IF(F310="","",INDEX({"Listening","Speaking","Reading","Writing"},MATCH(MIN(F310:I310),F310:I310,0)))</f>
        <v/>
      </c>
      <c r="M310" s="17"/>
      <c r="N310" s="6" t="str">
        <f aca="false">IF(OR(F310="",M310=""),"",ROUND(AVERAGE(F310:I310)-M310,1))</f>
        <v/>
      </c>
      <c r="O310" s="17"/>
      <c r="P310" s="17"/>
      <c r="Q310" s="17"/>
    </row>
    <row r="311" customFormat="false" ht="15" hidden="false" customHeight="tru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6" t="str">
        <f aca="false">IF(F311="","",IF(AND(F311&gt;=4,G311&gt;=4,H311&gt;=4,I311&gt;=4),"Proficient",IF(AND(F311&lt;=2,G311&lt;=2,H311&lt;=2,I311&lt;=2),"Emerging","Progressing")))</f>
        <v/>
      </c>
      <c r="K311" s="6" t="str">
        <f aca="false">IF(F311="","",IF(J311="Proficient","Yes","No"))</f>
        <v/>
      </c>
      <c r="L311" s="6" t="str">
        <f aca="false">IF(F311="","",INDEX({"Listening","Speaking","Reading","Writing"},MATCH(MIN(F311:I311),F311:I311,0)))</f>
        <v/>
      </c>
      <c r="M311" s="17"/>
      <c r="N311" s="6" t="str">
        <f aca="false">IF(OR(F311="",M311=""),"",ROUND(AVERAGE(F311:I311)-M311,1))</f>
        <v/>
      </c>
      <c r="O311" s="17"/>
      <c r="P311" s="17"/>
      <c r="Q311" s="17"/>
    </row>
    <row r="312" customFormat="false" ht="15" hidden="false" customHeight="tru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6" t="str">
        <f aca="false">IF(F312="","",IF(AND(F312&gt;=4,G312&gt;=4,H312&gt;=4,I312&gt;=4),"Proficient",IF(AND(F312&lt;=2,G312&lt;=2,H312&lt;=2,I312&lt;=2),"Emerging","Progressing")))</f>
        <v/>
      </c>
      <c r="K312" s="6" t="str">
        <f aca="false">IF(F312="","",IF(J312="Proficient","Yes","No"))</f>
        <v/>
      </c>
      <c r="L312" s="6" t="str">
        <f aca="false">IF(F312="","",INDEX({"Listening","Speaking","Reading","Writing"},MATCH(MIN(F312:I312),F312:I312,0)))</f>
        <v/>
      </c>
      <c r="M312" s="17"/>
      <c r="N312" s="6" t="str">
        <f aca="false">IF(OR(F312="",M312=""),"",ROUND(AVERAGE(F312:I312)-M312,1))</f>
        <v/>
      </c>
      <c r="O312" s="17"/>
      <c r="P312" s="17"/>
      <c r="Q312" s="17"/>
    </row>
    <row r="313" customFormat="false" ht="15" hidden="false" customHeight="tru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6" t="str">
        <f aca="false">IF(F313="","",IF(AND(F313&gt;=4,G313&gt;=4,H313&gt;=4,I313&gt;=4),"Proficient",IF(AND(F313&lt;=2,G313&lt;=2,H313&lt;=2,I313&lt;=2),"Emerging","Progressing")))</f>
        <v/>
      </c>
      <c r="K313" s="6" t="str">
        <f aca="false">IF(F313="","",IF(J313="Proficient","Yes","No"))</f>
        <v/>
      </c>
      <c r="L313" s="6" t="str">
        <f aca="false">IF(F313="","",INDEX({"Listening","Speaking","Reading","Writing"},MATCH(MIN(F313:I313),F313:I313,0)))</f>
        <v/>
      </c>
      <c r="M313" s="17"/>
      <c r="N313" s="6" t="str">
        <f aca="false">IF(OR(F313="",M313=""),"",ROUND(AVERAGE(F313:I313)-M313,1))</f>
        <v/>
      </c>
      <c r="O313" s="17"/>
      <c r="P313" s="17"/>
      <c r="Q313" s="17"/>
    </row>
    <row r="314" customFormat="false" ht="15" hidden="false" customHeight="tru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6" t="str">
        <f aca="false">IF(F314="","",IF(AND(F314&gt;=4,G314&gt;=4,H314&gt;=4,I314&gt;=4),"Proficient",IF(AND(F314&lt;=2,G314&lt;=2,H314&lt;=2,I314&lt;=2),"Emerging","Progressing")))</f>
        <v/>
      </c>
      <c r="K314" s="6" t="str">
        <f aca="false">IF(F314="","",IF(J314="Proficient","Yes","No"))</f>
        <v/>
      </c>
      <c r="L314" s="6" t="str">
        <f aca="false">IF(F314="","",INDEX({"Listening","Speaking","Reading","Writing"},MATCH(MIN(F314:I314),F314:I314,0)))</f>
        <v/>
      </c>
      <c r="M314" s="17"/>
      <c r="N314" s="6" t="str">
        <f aca="false">IF(OR(F314="",M314=""),"",ROUND(AVERAGE(F314:I314)-M314,1))</f>
        <v/>
      </c>
      <c r="O314" s="17"/>
      <c r="P314" s="17"/>
      <c r="Q314" s="17"/>
    </row>
    <row r="315" customFormat="false" ht="15" hidden="false" customHeight="tru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6" t="str">
        <f aca="false">IF(F315="","",IF(AND(F315&gt;=4,G315&gt;=4,H315&gt;=4,I315&gt;=4),"Proficient",IF(AND(F315&lt;=2,G315&lt;=2,H315&lt;=2,I315&lt;=2),"Emerging","Progressing")))</f>
        <v/>
      </c>
      <c r="K315" s="6" t="str">
        <f aca="false">IF(F315="","",IF(J315="Proficient","Yes","No"))</f>
        <v/>
      </c>
      <c r="L315" s="6" t="str">
        <f aca="false">IF(F315="","",INDEX({"Listening","Speaking","Reading","Writing"},MATCH(MIN(F315:I315),F315:I315,0)))</f>
        <v/>
      </c>
      <c r="M315" s="17"/>
      <c r="N315" s="6" t="str">
        <f aca="false">IF(OR(F315="",M315=""),"",ROUND(AVERAGE(F315:I315)-M315,1))</f>
        <v/>
      </c>
      <c r="O315" s="17"/>
      <c r="P315" s="17"/>
      <c r="Q315" s="17"/>
    </row>
    <row r="316" customFormat="false" ht="15" hidden="false" customHeight="tru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6" t="str">
        <f aca="false">IF(F316="","",IF(AND(F316&gt;=4,G316&gt;=4,H316&gt;=4,I316&gt;=4),"Proficient",IF(AND(F316&lt;=2,G316&lt;=2,H316&lt;=2,I316&lt;=2),"Emerging","Progressing")))</f>
        <v/>
      </c>
      <c r="K316" s="6" t="str">
        <f aca="false">IF(F316="","",IF(J316="Proficient","Yes","No"))</f>
        <v/>
      </c>
      <c r="L316" s="6" t="str">
        <f aca="false">IF(F316="","",INDEX({"Listening","Speaking","Reading","Writing"},MATCH(MIN(F316:I316),F316:I316,0)))</f>
        <v/>
      </c>
      <c r="M316" s="17"/>
      <c r="N316" s="6" t="str">
        <f aca="false">IF(OR(F316="",M316=""),"",ROUND(AVERAGE(F316:I316)-M316,1))</f>
        <v/>
      </c>
      <c r="O316" s="17"/>
      <c r="P316" s="17"/>
      <c r="Q316" s="17"/>
    </row>
    <row r="317" customFormat="false" ht="15" hidden="false" customHeight="tru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6" t="str">
        <f aca="false">IF(F317="","",IF(AND(F317&gt;=4,G317&gt;=4,H317&gt;=4,I317&gt;=4),"Proficient",IF(AND(F317&lt;=2,G317&lt;=2,H317&lt;=2,I317&lt;=2),"Emerging","Progressing")))</f>
        <v/>
      </c>
      <c r="K317" s="6" t="str">
        <f aca="false">IF(F317="","",IF(J317="Proficient","Yes","No"))</f>
        <v/>
      </c>
      <c r="L317" s="6" t="str">
        <f aca="false">IF(F317="","",INDEX({"Listening","Speaking","Reading","Writing"},MATCH(MIN(F317:I317),F317:I317,0)))</f>
        <v/>
      </c>
      <c r="M317" s="17"/>
      <c r="N317" s="6" t="str">
        <f aca="false">IF(OR(F317="",M317=""),"",ROUND(AVERAGE(F317:I317)-M317,1))</f>
        <v/>
      </c>
      <c r="O317" s="17"/>
      <c r="P317" s="17"/>
      <c r="Q317" s="17"/>
    </row>
    <row r="318" customFormat="false" ht="15" hidden="false" customHeight="tru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6" t="str">
        <f aca="false">IF(F318="","",IF(AND(F318&gt;=4,G318&gt;=4,H318&gt;=4,I318&gt;=4),"Proficient",IF(AND(F318&lt;=2,G318&lt;=2,H318&lt;=2,I318&lt;=2),"Emerging","Progressing")))</f>
        <v/>
      </c>
      <c r="K318" s="6" t="str">
        <f aca="false">IF(F318="","",IF(J318="Proficient","Yes","No"))</f>
        <v/>
      </c>
      <c r="L318" s="6" t="str">
        <f aca="false">IF(F318="","",INDEX({"Listening","Speaking","Reading","Writing"},MATCH(MIN(F318:I318),F318:I318,0)))</f>
        <v/>
      </c>
      <c r="M318" s="17"/>
      <c r="N318" s="6" t="str">
        <f aca="false">IF(OR(F318="",M318=""),"",ROUND(AVERAGE(F318:I318)-M318,1))</f>
        <v/>
      </c>
      <c r="O318" s="17"/>
      <c r="P318" s="17"/>
      <c r="Q318" s="17"/>
    </row>
    <row r="319" customFormat="false" ht="15" hidden="false" customHeight="tru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6" t="str">
        <f aca="false">IF(F319="","",IF(AND(F319&gt;=4,G319&gt;=4,H319&gt;=4,I319&gt;=4),"Proficient",IF(AND(F319&lt;=2,G319&lt;=2,H319&lt;=2,I319&lt;=2),"Emerging","Progressing")))</f>
        <v/>
      </c>
      <c r="K319" s="6" t="str">
        <f aca="false">IF(F319="","",IF(J319="Proficient","Yes","No"))</f>
        <v/>
      </c>
      <c r="L319" s="6" t="str">
        <f aca="false">IF(F319="","",INDEX({"Listening","Speaking","Reading","Writing"},MATCH(MIN(F319:I319),F319:I319,0)))</f>
        <v/>
      </c>
      <c r="M319" s="17"/>
      <c r="N319" s="6" t="str">
        <f aca="false">IF(OR(F319="",M319=""),"",ROUND(AVERAGE(F319:I319)-M319,1))</f>
        <v/>
      </c>
      <c r="O319" s="17"/>
      <c r="P319" s="17"/>
      <c r="Q319" s="17"/>
    </row>
    <row r="320" customFormat="false" ht="15" hidden="false" customHeight="tru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6" t="str">
        <f aca="false">IF(F320="","",IF(AND(F320&gt;=4,G320&gt;=4,H320&gt;=4,I320&gt;=4),"Proficient",IF(AND(F320&lt;=2,G320&lt;=2,H320&lt;=2,I320&lt;=2),"Emerging","Progressing")))</f>
        <v/>
      </c>
      <c r="K320" s="6" t="str">
        <f aca="false">IF(F320="","",IF(J320="Proficient","Yes","No"))</f>
        <v/>
      </c>
      <c r="L320" s="6" t="str">
        <f aca="false">IF(F320="","",INDEX({"Listening","Speaking","Reading","Writing"},MATCH(MIN(F320:I320),F320:I320,0)))</f>
        <v/>
      </c>
      <c r="M320" s="17"/>
      <c r="N320" s="6" t="str">
        <f aca="false">IF(OR(F320="",M320=""),"",ROUND(AVERAGE(F320:I320)-M320,1))</f>
        <v/>
      </c>
      <c r="O320" s="17"/>
      <c r="P320" s="17"/>
      <c r="Q320" s="17"/>
    </row>
    <row r="321" customFormat="false" ht="15" hidden="false" customHeight="tru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6" t="str">
        <f aca="false">IF(F321="","",IF(AND(F321&gt;=4,G321&gt;=4,H321&gt;=4,I321&gt;=4),"Proficient",IF(AND(F321&lt;=2,G321&lt;=2,H321&lt;=2,I321&lt;=2),"Emerging","Progressing")))</f>
        <v/>
      </c>
      <c r="K321" s="6" t="str">
        <f aca="false">IF(F321="","",IF(J321="Proficient","Yes","No"))</f>
        <v/>
      </c>
      <c r="L321" s="6" t="str">
        <f aca="false">IF(F321="","",INDEX({"Listening","Speaking","Reading","Writing"},MATCH(MIN(F321:I321),F321:I321,0)))</f>
        <v/>
      </c>
      <c r="M321" s="17"/>
      <c r="N321" s="6" t="str">
        <f aca="false">IF(OR(F321="",M321=""),"",ROUND(AVERAGE(F321:I321)-M321,1))</f>
        <v/>
      </c>
      <c r="O321" s="17"/>
      <c r="P321" s="17"/>
      <c r="Q321" s="17"/>
    </row>
    <row r="322" customFormat="false" ht="15" hidden="false" customHeight="tru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6" t="str">
        <f aca="false">IF(F322="","",IF(AND(F322&gt;=4,G322&gt;=4,H322&gt;=4,I322&gt;=4),"Proficient",IF(AND(F322&lt;=2,G322&lt;=2,H322&lt;=2,I322&lt;=2),"Emerging","Progressing")))</f>
        <v/>
      </c>
      <c r="K322" s="6" t="str">
        <f aca="false">IF(F322="","",IF(J322="Proficient","Yes","No"))</f>
        <v/>
      </c>
      <c r="L322" s="6" t="str">
        <f aca="false">IF(F322="","",INDEX({"Listening","Speaking","Reading","Writing"},MATCH(MIN(F322:I322),F322:I322,0)))</f>
        <v/>
      </c>
      <c r="M322" s="17"/>
      <c r="N322" s="6" t="str">
        <f aca="false">IF(OR(F322="",M322=""),"",ROUND(AVERAGE(F322:I322)-M322,1))</f>
        <v/>
      </c>
      <c r="O322" s="17"/>
      <c r="P322" s="17"/>
      <c r="Q322" s="17"/>
    </row>
    <row r="323" customFormat="false" ht="15" hidden="false" customHeight="tru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6" t="str">
        <f aca="false">IF(F323="","",IF(AND(F323&gt;=4,G323&gt;=4,H323&gt;=4,I323&gt;=4),"Proficient",IF(AND(F323&lt;=2,G323&lt;=2,H323&lt;=2,I323&lt;=2),"Emerging","Progressing")))</f>
        <v/>
      </c>
      <c r="K323" s="6" t="str">
        <f aca="false">IF(F323="","",IF(J323="Proficient","Yes","No"))</f>
        <v/>
      </c>
      <c r="L323" s="6" t="str">
        <f aca="false">IF(F323="","",INDEX({"Listening","Speaking","Reading","Writing"},MATCH(MIN(F323:I323),F323:I323,0)))</f>
        <v/>
      </c>
      <c r="M323" s="17"/>
      <c r="N323" s="6" t="str">
        <f aca="false">IF(OR(F323="",M323=""),"",ROUND(AVERAGE(F323:I323)-M323,1))</f>
        <v/>
      </c>
      <c r="O323" s="17"/>
      <c r="P323" s="17"/>
      <c r="Q323" s="17"/>
    </row>
    <row r="324" customFormat="false" ht="15" hidden="false" customHeight="tru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6" t="str">
        <f aca="false">IF(F324="","",IF(AND(F324&gt;=4,G324&gt;=4,H324&gt;=4,I324&gt;=4),"Proficient",IF(AND(F324&lt;=2,G324&lt;=2,H324&lt;=2,I324&lt;=2),"Emerging","Progressing")))</f>
        <v/>
      </c>
      <c r="K324" s="6" t="str">
        <f aca="false">IF(F324="","",IF(J324="Proficient","Yes","No"))</f>
        <v/>
      </c>
      <c r="L324" s="6" t="str">
        <f aca="false">IF(F324="","",INDEX({"Listening","Speaking","Reading","Writing"},MATCH(MIN(F324:I324),F324:I324,0)))</f>
        <v/>
      </c>
      <c r="M324" s="17"/>
      <c r="N324" s="6" t="str">
        <f aca="false">IF(OR(F324="",M324=""),"",ROUND(AVERAGE(F324:I324)-M324,1))</f>
        <v/>
      </c>
      <c r="O324" s="17"/>
      <c r="P324" s="17"/>
      <c r="Q324" s="17"/>
    </row>
    <row r="325" customFormat="false" ht="15" hidden="false" customHeight="tru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6" t="str">
        <f aca="false">IF(F325="","",IF(AND(F325&gt;=4,G325&gt;=4,H325&gt;=4,I325&gt;=4),"Proficient",IF(AND(F325&lt;=2,G325&lt;=2,H325&lt;=2,I325&lt;=2),"Emerging","Progressing")))</f>
        <v/>
      </c>
      <c r="K325" s="6" t="str">
        <f aca="false">IF(F325="","",IF(J325="Proficient","Yes","No"))</f>
        <v/>
      </c>
      <c r="L325" s="6" t="str">
        <f aca="false">IF(F325="","",INDEX({"Listening","Speaking","Reading","Writing"},MATCH(MIN(F325:I325),F325:I325,0)))</f>
        <v/>
      </c>
      <c r="M325" s="17"/>
      <c r="N325" s="6" t="str">
        <f aca="false">IF(OR(F325="",M325=""),"",ROUND(AVERAGE(F325:I325)-M325,1))</f>
        <v/>
      </c>
      <c r="O325" s="17"/>
      <c r="P325" s="17"/>
      <c r="Q325" s="17"/>
    </row>
    <row r="326" customFormat="false" ht="15" hidden="false" customHeight="tru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6" t="str">
        <f aca="false">IF(F326="","",IF(AND(F326&gt;=4,G326&gt;=4,H326&gt;=4,I326&gt;=4),"Proficient",IF(AND(F326&lt;=2,G326&lt;=2,H326&lt;=2,I326&lt;=2),"Emerging","Progressing")))</f>
        <v/>
      </c>
      <c r="K326" s="6" t="str">
        <f aca="false">IF(F326="","",IF(J326="Proficient","Yes","No"))</f>
        <v/>
      </c>
      <c r="L326" s="6" t="str">
        <f aca="false">IF(F326="","",INDEX({"Listening","Speaking","Reading","Writing"},MATCH(MIN(F326:I326),F326:I326,0)))</f>
        <v/>
      </c>
      <c r="M326" s="17"/>
      <c r="N326" s="6" t="str">
        <f aca="false">IF(OR(F326="",M326=""),"",ROUND(AVERAGE(F326:I326)-M326,1))</f>
        <v/>
      </c>
      <c r="O326" s="17"/>
      <c r="P326" s="17"/>
      <c r="Q326" s="17"/>
    </row>
    <row r="327" customFormat="false" ht="15" hidden="false" customHeight="tru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6" t="str">
        <f aca="false">IF(F327="","",IF(AND(F327&gt;=4,G327&gt;=4,H327&gt;=4,I327&gt;=4),"Proficient",IF(AND(F327&lt;=2,G327&lt;=2,H327&lt;=2,I327&lt;=2),"Emerging","Progressing")))</f>
        <v/>
      </c>
      <c r="K327" s="6" t="str">
        <f aca="false">IF(F327="","",IF(J327="Proficient","Yes","No"))</f>
        <v/>
      </c>
      <c r="L327" s="6" t="str">
        <f aca="false">IF(F327="","",INDEX({"Listening","Speaking","Reading","Writing"},MATCH(MIN(F327:I327),F327:I327,0)))</f>
        <v/>
      </c>
      <c r="M327" s="17"/>
      <c r="N327" s="6" t="str">
        <f aca="false">IF(OR(F327="",M327=""),"",ROUND(AVERAGE(F327:I327)-M327,1))</f>
        <v/>
      </c>
      <c r="O327" s="17"/>
      <c r="P327" s="17"/>
      <c r="Q327" s="17"/>
    </row>
    <row r="328" customFormat="false" ht="15" hidden="false" customHeight="tru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6" t="str">
        <f aca="false">IF(F328="","",IF(AND(F328&gt;=4,G328&gt;=4,H328&gt;=4,I328&gt;=4),"Proficient",IF(AND(F328&lt;=2,G328&lt;=2,H328&lt;=2,I328&lt;=2),"Emerging","Progressing")))</f>
        <v/>
      </c>
      <c r="K328" s="6" t="str">
        <f aca="false">IF(F328="","",IF(J328="Proficient","Yes","No"))</f>
        <v/>
      </c>
      <c r="L328" s="6" t="str">
        <f aca="false">IF(F328="","",INDEX({"Listening","Speaking","Reading","Writing"},MATCH(MIN(F328:I328),F328:I328,0)))</f>
        <v/>
      </c>
      <c r="M328" s="17"/>
      <c r="N328" s="6" t="str">
        <f aca="false">IF(OR(F328="",M328=""),"",ROUND(AVERAGE(F328:I328)-M328,1))</f>
        <v/>
      </c>
      <c r="O328" s="17"/>
      <c r="P328" s="17"/>
      <c r="Q328" s="17"/>
    </row>
    <row r="329" customFormat="false" ht="15" hidden="false" customHeight="tru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6" t="str">
        <f aca="false">IF(F329="","",IF(AND(F329&gt;=4,G329&gt;=4,H329&gt;=4,I329&gt;=4),"Proficient",IF(AND(F329&lt;=2,G329&lt;=2,H329&lt;=2,I329&lt;=2),"Emerging","Progressing")))</f>
        <v/>
      </c>
      <c r="K329" s="6" t="str">
        <f aca="false">IF(F329="","",IF(J329="Proficient","Yes","No"))</f>
        <v/>
      </c>
      <c r="L329" s="6" t="str">
        <f aca="false">IF(F329="","",INDEX({"Listening","Speaking","Reading","Writing"},MATCH(MIN(F329:I329),F329:I329,0)))</f>
        <v/>
      </c>
      <c r="M329" s="17"/>
      <c r="N329" s="6" t="str">
        <f aca="false">IF(OR(F329="",M329=""),"",ROUND(AVERAGE(F329:I329)-M329,1))</f>
        <v/>
      </c>
      <c r="O329" s="17"/>
      <c r="P329" s="17"/>
      <c r="Q329" s="17"/>
    </row>
    <row r="330" customFormat="false" ht="15" hidden="false" customHeight="tru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6" t="str">
        <f aca="false">IF(F330="","",IF(AND(F330&gt;=4,G330&gt;=4,H330&gt;=4,I330&gt;=4),"Proficient",IF(AND(F330&lt;=2,G330&lt;=2,H330&lt;=2,I330&lt;=2),"Emerging","Progressing")))</f>
        <v/>
      </c>
      <c r="K330" s="6" t="str">
        <f aca="false">IF(F330="","",IF(J330="Proficient","Yes","No"))</f>
        <v/>
      </c>
      <c r="L330" s="6" t="str">
        <f aca="false">IF(F330="","",INDEX({"Listening","Speaking","Reading","Writing"},MATCH(MIN(F330:I330),F330:I330,0)))</f>
        <v/>
      </c>
      <c r="M330" s="17"/>
      <c r="N330" s="6" t="str">
        <f aca="false">IF(OR(F330="",M330=""),"",ROUND(AVERAGE(F330:I330)-M330,1))</f>
        <v/>
      </c>
      <c r="O330" s="17"/>
      <c r="P330" s="17"/>
      <c r="Q330" s="17"/>
    </row>
    <row r="331" customFormat="false" ht="15" hidden="false" customHeight="tru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6" t="str">
        <f aca="false">IF(F331="","",IF(AND(F331&gt;=4,G331&gt;=4,H331&gt;=4,I331&gt;=4),"Proficient",IF(AND(F331&lt;=2,G331&lt;=2,H331&lt;=2,I331&lt;=2),"Emerging","Progressing")))</f>
        <v/>
      </c>
      <c r="K331" s="6" t="str">
        <f aca="false">IF(F331="","",IF(J331="Proficient","Yes","No"))</f>
        <v/>
      </c>
      <c r="L331" s="6" t="str">
        <f aca="false">IF(F331="","",INDEX({"Listening","Speaking","Reading","Writing"},MATCH(MIN(F331:I331),F331:I331,0)))</f>
        <v/>
      </c>
      <c r="M331" s="17"/>
      <c r="N331" s="6" t="str">
        <f aca="false">IF(OR(F331="",M331=""),"",ROUND(AVERAGE(F331:I331)-M331,1))</f>
        <v/>
      </c>
      <c r="O331" s="17"/>
      <c r="P331" s="17"/>
      <c r="Q331" s="17"/>
    </row>
    <row r="332" customFormat="false" ht="15" hidden="false" customHeight="tru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6" t="str">
        <f aca="false">IF(F332="","",IF(AND(F332&gt;=4,G332&gt;=4,H332&gt;=4,I332&gt;=4),"Proficient",IF(AND(F332&lt;=2,G332&lt;=2,H332&lt;=2,I332&lt;=2),"Emerging","Progressing")))</f>
        <v/>
      </c>
      <c r="K332" s="6" t="str">
        <f aca="false">IF(F332="","",IF(J332="Proficient","Yes","No"))</f>
        <v/>
      </c>
      <c r="L332" s="6" t="str">
        <f aca="false">IF(F332="","",INDEX({"Listening","Speaking","Reading","Writing"},MATCH(MIN(F332:I332),F332:I332,0)))</f>
        <v/>
      </c>
      <c r="M332" s="17"/>
      <c r="N332" s="6" t="str">
        <f aca="false">IF(OR(F332="",M332=""),"",ROUND(AVERAGE(F332:I332)-M332,1))</f>
        <v/>
      </c>
      <c r="O332" s="17"/>
      <c r="P332" s="17"/>
      <c r="Q332" s="17"/>
    </row>
    <row r="333" customFormat="false" ht="15" hidden="false" customHeight="tru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6" t="str">
        <f aca="false">IF(F333="","",IF(AND(F333&gt;=4,G333&gt;=4,H333&gt;=4,I333&gt;=4),"Proficient",IF(AND(F333&lt;=2,G333&lt;=2,H333&lt;=2,I333&lt;=2),"Emerging","Progressing")))</f>
        <v/>
      </c>
      <c r="K333" s="6" t="str">
        <f aca="false">IF(F333="","",IF(J333="Proficient","Yes","No"))</f>
        <v/>
      </c>
      <c r="L333" s="6" t="str">
        <f aca="false">IF(F333="","",INDEX({"Listening","Speaking","Reading","Writing"},MATCH(MIN(F333:I333),F333:I333,0)))</f>
        <v/>
      </c>
      <c r="M333" s="17"/>
      <c r="N333" s="6" t="str">
        <f aca="false">IF(OR(F333="",M333=""),"",ROUND(AVERAGE(F333:I333)-M333,1))</f>
        <v/>
      </c>
      <c r="O333" s="17"/>
      <c r="P333" s="17"/>
      <c r="Q333" s="17"/>
    </row>
    <row r="334" customFormat="false" ht="15" hidden="false" customHeight="tru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6" t="str">
        <f aca="false">IF(F334="","",IF(AND(F334&gt;=4,G334&gt;=4,H334&gt;=4,I334&gt;=4),"Proficient",IF(AND(F334&lt;=2,G334&lt;=2,H334&lt;=2,I334&lt;=2),"Emerging","Progressing")))</f>
        <v/>
      </c>
      <c r="K334" s="6" t="str">
        <f aca="false">IF(F334="","",IF(J334="Proficient","Yes","No"))</f>
        <v/>
      </c>
      <c r="L334" s="6" t="str">
        <f aca="false">IF(F334="","",INDEX({"Listening","Speaking","Reading","Writing"},MATCH(MIN(F334:I334),F334:I334,0)))</f>
        <v/>
      </c>
      <c r="M334" s="17"/>
      <c r="N334" s="6" t="str">
        <f aca="false">IF(OR(F334="",M334=""),"",ROUND(AVERAGE(F334:I334)-M334,1))</f>
        <v/>
      </c>
      <c r="O334" s="17"/>
      <c r="P334" s="17"/>
      <c r="Q334" s="17"/>
    </row>
    <row r="335" customFormat="false" ht="15" hidden="false" customHeight="tru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6" t="str">
        <f aca="false">IF(F335="","",IF(AND(F335&gt;=4,G335&gt;=4,H335&gt;=4,I335&gt;=4),"Proficient",IF(AND(F335&lt;=2,G335&lt;=2,H335&lt;=2,I335&lt;=2),"Emerging","Progressing")))</f>
        <v/>
      </c>
      <c r="K335" s="6" t="str">
        <f aca="false">IF(F335="","",IF(J335="Proficient","Yes","No"))</f>
        <v/>
      </c>
      <c r="L335" s="6" t="str">
        <f aca="false">IF(F335="","",INDEX({"Listening","Speaking","Reading","Writing"},MATCH(MIN(F335:I335),F335:I335,0)))</f>
        <v/>
      </c>
      <c r="M335" s="17"/>
      <c r="N335" s="6" t="str">
        <f aca="false">IF(OR(F335="",M335=""),"",ROUND(AVERAGE(F335:I335)-M335,1))</f>
        <v/>
      </c>
      <c r="O335" s="17"/>
      <c r="P335" s="17"/>
      <c r="Q335" s="17"/>
    </row>
    <row r="336" customFormat="false" ht="15" hidden="false" customHeight="tru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6" t="str">
        <f aca="false">IF(F336="","",IF(AND(F336&gt;=4,G336&gt;=4,H336&gt;=4,I336&gt;=4),"Proficient",IF(AND(F336&lt;=2,G336&lt;=2,H336&lt;=2,I336&lt;=2),"Emerging","Progressing")))</f>
        <v/>
      </c>
      <c r="K336" s="6" t="str">
        <f aca="false">IF(F336="","",IF(J336="Proficient","Yes","No"))</f>
        <v/>
      </c>
      <c r="L336" s="6" t="str">
        <f aca="false">IF(F336="","",INDEX({"Listening","Speaking","Reading","Writing"},MATCH(MIN(F336:I336),F336:I336,0)))</f>
        <v/>
      </c>
      <c r="M336" s="17"/>
      <c r="N336" s="6" t="str">
        <f aca="false">IF(OR(F336="",M336=""),"",ROUND(AVERAGE(F336:I336)-M336,1))</f>
        <v/>
      </c>
      <c r="O336" s="17"/>
      <c r="P336" s="17"/>
      <c r="Q336" s="17"/>
    </row>
    <row r="337" customFormat="false" ht="15" hidden="false" customHeight="tru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6" t="str">
        <f aca="false">IF(F337="","",IF(AND(F337&gt;=4,G337&gt;=4,H337&gt;=4,I337&gt;=4),"Proficient",IF(AND(F337&lt;=2,G337&lt;=2,H337&lt;=2,I337&lt;=2),"Emerging","Progressing")))</f>
        <v/>
      </c>
      <c r="K337" s="6" t="str">
        <f aca="false">IF(F337="","",IF(J337="Proficient","Yes","No"))</f>
        <v/>
      </c>
      <c r="L337" s="6" t="str">
        <f aca="false">IF(F337="","",INDEX({"Listening","Speaking","Reading","Writing"},MATCH(MIN(F337:I337),F337:I337,0)))</f>
        <v/>
      </c>
      <c r="M337" s="17"/>
      <c r="N337" s="6" t="str">
        <f aca="false">IF(OR(F337="",M337=""),"",ROUND(AVERAGE(F337:I337)-M337,1))</f>
        <v/>
      </c>
      <c r="O337" s="17"/>
      <c r="P337" s="17"/>
      <c r="Q337" s="17"/>
    </row>
    <row r="338" customFormat="false" ht="15" hidden="false" customHeight="tru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6" t="str">
        <f aca="false">IF(F338="","",IF(AND(F338&gt;=4,G338&gt;=4,H338&gt;=4,I338&gt;=4),"Proficient",IF(AND(F338&lt;=2,G338&lt;=2,H338&lt;=2,I338&lt;=2),"Emerging","Progressing")))</f>
        <v/>
      </c>
      <c r="K338" s="6" t="str">
        <f aca="false">IF(F338="","",IF(J338="Proficient","Yes","No"))</f>
        <v/>
      </c>
      <c r="L338" s="6" t="str">
        <f aca="false">IF(F338="","",INDEX({"Listening","Speaking","Reading","Writing"},MATCH(MIN(F338:I338),F338:I338,0)))</f>
        <v/>
      </c>
      <c r="M338" s="17"/>
      <c r="N338" s="6" t="str">
        <f aca="false">IF(OR(F338="",M338=""),"",ROUND(AVERAGE(F338:I338)-M338,1))</f>
        <v/>
      </c>
      <c r="O338" s="17"/>
      <c r="P338" s="17"/>
      <c r="Q338" s="17"/>
    </row>
    <row r="339" customFormat="false" ht="15" hidden="false" customHeight="tru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6" t="str">
        <f aca="false">IF(F339="","",IF(AND(F339&gt;=4,G339&gt;=4,H339&gt;=4,I339&gt;=4),"Proficient",IF(AND(F339&lt;=2,G339&lt;=2,H339&lt;=2,I339&lt;=2),"Emerging","Progressing")))</f>
        <v/>
      </c>
      <c r="K339" s="6" t="str">
        <f aca="false">IF(F339="","",IF(J339="Proficient","Yes","No"))</f>
        <v/>
      </c>
      <c r="L339" s="6" t="str">
        <f aca="false">IF(F339="","",INDEX({"Listening","Speaking","Reading","Writing"},MATCH(MIN(F339:I339),F339:I339,0)))</f>
        <v/>
      </c>
      <c r="M339" s="17"/>
      <c r="N339" s="6" t="str">
        <f aca="false">IF(OR(F339="",M339=""),"",ROUND(AVERAGE(F339:I339)-M339,1))</f>
        <v/>
      </c>
      <c r="O339" s="17"/>
      <c r="P339" s="17"/>
      <c r="Q339" s="17"/>
    </row>
    <row r="340" customFormat="false" ht="15" hidden="false" customHeight="tru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6" t="str">
        <f aca="false">IF(F340="","",IF(AND(F340&gt;=4,G340&gt;=4,H340&gt;=4,I340&gt;=4),"Proficient",IF(AND(F340&lt;=2,G340&lt;=2,H340&lt;=2,I340&lt;=2),"Emerging","Progressing")))</f>
        <v/>
      </c>
      <c r="K340" s="6" t="str">
        <f aca="false">IF(F340="","",IF(J340="Proficient","Yes","No"))</f>
        <v/>
      </c>
      <c r="L340" s="6" t="str">
        <f aca="false">IF(F340="","",INDEX({"Listening","Speaking","Reading","Writing"},MATCH(MIN(F340:I340),F340:I340,0)))</f>
        <v/>
      </c>
      <c r="M340" s="17"/>
      <c r="N340" s="6" t="str">
        <f aca="false">IF(OR(F340="",M340=""),"",ROUND(AVERAGE(F340:I340)-M340,1))</f>
        <v/>
      </c>
      <c r="O340" s="17"/>
      <c r="P340" s="17"/>
      <c r="Q340" s="17"/>
    </row>
    <row r="341" customFormat="false" ht="15" hidden="false" customHeight="tru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6" t="str">
        <f aca="false">IF(F341="","",IF(AND(F341&gt;=4,G341&gt;=4,H341&gt;=4,I341&gt;=4),"Proficient",IF(AND(F341&lt;=2,G341&lt;=2,H341&lt;=2,I341&lt;=2),"Emerging","Progressing")))</f>
        <v/>
      </c>
      <c r="K341" s="6" t="str">
        <f aca="false">IF(F341="","",IF(J341="Proficient","Yes","No"))</f>
        <v/>
      </c>
      <c r="L341" s="6" t="str">
        <f aca="false">IF(F341="","",INDEX({"Listening","Speaking","Reading","Writing"},MATCH(MIN(F341:I341),F341:I341,0)))</f>
        <v/>
      </c>
      <c r="M341" s="17"/>
      <c r="N341" s="6" t="str">
        <f aca="false">IF(OR(F341="",M341=""),"",ROUND(AVERAGE(F341:I341)-M341,1))</f>
        <v/>
      </c>
      <c r="O341" s="17"/>
      <c r="P341" s="17"/>
      <c r="Q341" s="17"/>
    </row>
    <row r="342" customFormat="false" ht="15" hidden="false" customHeight="tru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6" t="str">
        <f aca="false">IF(F342="","",IF(AND(F342&gt;=4,G342&gt;=4,H342&gt;=4,I342&gt;=4),"Proficient",IF(AND(F342&lt;=2,G342&lt;=2,H342&lt;=2,I342&lt;=2),"Emerging","Progressing")))</f>
        <v/>
      </c>
      <c r="K342" s="6" t="str">
        <f aca="false">IF(F342="","",IF(J342="Proficient","Yes","No"))</f>
        <v/>
      </c>
      <c r="L342" s="6" t="str">
        <f aca="false">IF(F342="","",INDEX({"Listening","Speaking","Reading","Writing"},MATCH(MIN(F342:I342),F342:I342,0)))</f>
        <v/>
      </c>
      <c r="M342" s="17"/>
      <c r="N342" s="6" t="str">
        <f aca="false">IF(OR(F342="",M342=""),"",ROUND(AVERAGE(F342:I342)-M342,1))</f>
        <v/>
      </c>
      <c r="O342" s="17"/>
      <c r="P342" s="17"/>
      <c r="Q342" s="17"/>
    </row>
    <row r="343" customFormat="false" ht="15" hidden="false" customHeight="tru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6" t="str">
        <f aca="false">IF(F343="","",IF(AND(F343&gt;=4,G343&gt;=4,H343&gt;=4,I343&gt;=4),"Proficient",IF(AND(F343&lt;=2,G343&lt;=2,H343&lt;=2,I343&lt;=2),"Emerging","Progressing")))</f>
        <v/>
      </c>
      <c r="K343" s="6" t="str">
        <f aca="false">IF(F343="","",IF(J343="Proficient","Yes","No"))</f>
        <v/>
      </c>
      <c r="L343" s="6" t="str">
        <f aca="false">IF(F343="","",INDEX({"Listening","Speaking","Reading","Writing"},MATCH(MIN(F343:I343),F343:I343,0)))</f>
        <v/>
      </c>
      <c r="M343" s="17"/>
      <c r="N343" s="6" t="str">
        <f aca="false">IF(OR(F343="",M343=""),"",ROUND(AVERAGE(F343:I343)-M343,1))</f>
        <v/>
      </c>
      <c r="O343" s="17"/>
      <c r="P343" s="17"/>
      <c r="Q343" s="17"/>
    </row>
    <row r="344" customFormat="false" ht="15" hidden="false" customHeight="tru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6" t="str">
        <f aca="false">IF(F344="","",IF(AND(F344&gt;=4,G344&gt;=4,H344&gt;=4,I344&gt;=4),"Proficient",IF(AND(F344&lt;=2,G344&lt;=2,H344&lt;=2,I344&lt;=2),"Emerging","Progressing")))</f>
        <v/>
      </c>
      <c r="K344" s="6" t="str">
        <f aca="false">IF(F344="","",IF(J344="Proficient","Yes","No"))</f>
        <v/>
      </c>
      <c r="L344" s="6" t="str">
        <f aca="false">IF(F344="","",INDEX({"Listening","Speaking","Reading","Writing"},MATCH(MIN(F344:I344),F344:I344,0)))</f>
        <v/>
      </c>
      <c r="M344" s="17"/>
      <c r="N344" s="6" t="str">
        <f aca="false">IF(OR(F344="",M344=""),"",ROUND(AVERAGE(F344:I344)-M344,1))</f>
        <v/>
      </c>
      <c r="O344" s="17"/>
      <c r="P344" s="17"/>
      <c r="Q344" s="17"/>
    </row>
    <row r="345" customFormat="false" ht="15" hidden="false" customHeight="tru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6" t="str">
        <f aca="false">IF(F345="","",IF(AND(F345&gt;=4,G345&gt;=4,H345&gt;=4,I345&gt;=4),"Proficient",IF(AND(F345&lt;=2,G345&lt;=2,H345&lt;=2,I345&lt;=2),"Emerging","Progressing")))</f>
        <v/>
      </c>
      <c r="K345" s="6" t="str">
        <f aca="false">IF(F345="","",IF(J345="Proficient","Yes","No"))</f>
        <v/>
      </c>
      <c r="L345" s="6" t="str">
        <f aca="false">IF(F345="","",INDEX({"Listening","Speaking","Reading","Writing"},MATCH(MIN(F345:I345),F345:I345,0)))</f>
        <v/>
      </c>
      <c r="M345" s="17"/>
      <c r="N345" s="6" t="str">
        <f aca="false">IF(OR(F345="",M345=""),"",ROUND(AVERAGE(F345:I345)-M345,1))</f>
        <v/>
      </c>
      <c r="O345" s="17"/>
      <c r="P345" s="17"/>
      <c r="Q345" s="17"/>
    </row>
    <row r="346" customFormat="false" ht="15" hidden="false" customHeight="tru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6" t="str">
        <f aca="false">IF(F346="","",IF(AND(F346&gt;=4,G346&gt;=4,H346&gt;=4,I346&gt;=4),"Proficient",IF(AND(F346&lt;=2,G346&lt;=2,H346&lt;=2,I346&lt;=2),"Emerging","Progressing")))</f>
        <v/>
      </c>
      <c r="K346" s="6" t="str">
        <f aca="false">IF(F346="","",IF(J346="Proficient","Yes","No"))</f>
        <v/>
      </c>
      <c r="L346" s="6" t="str">
        <f aca="false">IF(F346="","",INDEX({"Listening","Speaking","Reading","Writing"},MATCH(MIN(F346:I346),F346:I346,0)))</f>
        <v/>
      </c>
      <c r="M346" s="17"/>
      <c r="N346" s="6" t="str">
        <f aca="false">IF(OR(F346="",M346=""),"",ROUND(AVERAGE(F346:I346)-M346,1))</f>
        <v/>
      </c>
      <c r="O346" s="17"/>
      <c r="P346" s="17"/>
      <c r="Q346" s="17"/>
    </row>
    <row r="347" customFormat="false" ht="15" hidden="false" customHeight="tru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6" t="str">
        <f aca="false">IF(F347="","",IF(AND(F347&gt;=4,G347&gt;=4,H347&gt;=4,I347&gt;=4),"Proficient",IF(AND(F347&lt;=2,G347&lt;=2,H347&lt;=2,I347&lt;=2),"Emerging","Progressing")))</f>
        <v/>
      </c>
      <c r="K347" s="6" t="str">
        <f aca="false">IF(F347="","",IF(J347="Proficient","Yes","No"))</f>
        <v/>
      </c>
      <c r="L347" s="6" t="str">
        <f aca="false">IF(F347="","",INDEX({"Listening","Speaking","Reading","Writing"},MATCH(MIN(F347:I347),F347:I347,0)))</f>
        <v/>
      </c>
      <c r="M347" s="17"/>
      <c r="N347" s="6" t="str">
        <f aca="false">IF(OR(F347="",M347=""),"",ROUND(AVERAGE(F347:I347)-M347,1))</f>
        <v/>
      </c>
      <c r="O347" s="17"/>
      <c r="P347" s="17"/>
      <c r="Q347" s="17"/>
    </row>
    <row r="348" customFormat="false" ht="15" hidden="false" customHeight="tru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6" t="str">
        <f aca="false">IF(F348="","",IF(AND(F348&gt;=4,G348&gt;=4,H348&gt;=4,I348&gt;=4),"Proficient",IF(AND(F348&lt;=2,G348&lt;=2,H348&lt;=2,I348&lt;=2),"Emerging","Progressing")))</f>
        <v/>
      </c>
      <c r="K348" s="6" t="str">
        <f aca="false">IF(F348="","",IF(J348="Proficient","Yes","No"))</f>
        <v/>
      </c>
      <c r="L348" s="6" t="str">
        <f aca="false">IF(F348="","",INDEX({"Listening","Speaking","Reading","Writing"},MATCH(MIN(F348:I348),F348:I348,0)))</f>
        <v/>
      </c>
      <c r="M348" s="17"/>
      <c r="N348" s="6" t="str">
        <f aca="false">IF(OR(F348="",M348=""),"",ROUND(AVERAGE(F348:I348)-M348,1))</f>
        <v/>
      </c>
      <c r="O348" s="17"/>
      <c r="P348" s="17"/>
      <c r="Q348" s="17"/>
    </row>
    <row r="349" customFormat="false" ht="15" hidden="false" customHeight="tru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6" t="str">
        <f aca="false">IF(F349="","",IF(AND(F349&gt;=4,G349&gt;=4,H349&gt;=4,I349&gt;=4),"Proficient",IF(AND(F349&lt;=2,G349&lt;=2,H349&lt;=2,I349&lt;=2),"Emerging","Progressing")))</f>
        <v/>
      </c>
      <c r="K349" s="6" t="str">
        <f aca="false">IF(F349="","",IF(J349="Proficient","Yes","No"))</f>
        <v/>
      </c>
      <c r="L349" s="6" t="str">
        <f aca="false">IF(F349="","",INDEX({"Listening","Speaking","Reading","Writing"},MATCH(MIN(F349:I349),F349:I349,0)))</f>
        <v/>
      </c>
      <c r="M349" s="17"/>
      <c r="N349" s="6" t="str">
        <f aca="false">IF(OR(F349="",M349=""),"",ROUND(AVERAGE(F349:I349)-M349,1))</f>
        <v/>
      </c>
      <c r="O349" s="17"/>
      <c r="P349" s="17"/>
      <c r="Q349" s="17"/>
    </row>
    <row r="350" customFormat="false" ht="15" hidden="false" customHeight="tru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6" t="str">
        <f aca="false">IF(F350="","",IF(AND(F350&gt;=4,G350&gt;=4,H350&gt;=4,I350&gt;=4),"Proficient",IF(AND(F350&lt;=2,G350&lt;=2,H350&lt;=2,I350&lt;=2),"Emerging","Progressing")))</f>
        <v/>
      </c>
      <c r="K350" s="6" t="str">
        <f aca="false">IF(F350="","",IF(J350="Proficient","Yes","No"))</f>
        <v/>
      </c>
      <c r="L350" s="6" t="str">
        <f aca="false">IF(F350="","",INDEX({"Listening","Speaking","Reading","Writing"},MATCH(MIN(F350:I350),F350:I350,0)))</f>
        <v/>
      </c>
      <c r="M350" s="17"/>
      <c r="N350" s="6" t="str">
        <f aca="false">IF(OR(F350="",M350=""),"",ROUND(AVERAGE(F350:I350)-M350,1))</f>
        <v/>
      </c>
      <c r="O350" s="17"/>
      <c r="P350" s="17"/>
      <c r="Q350" s="17"/>
    </row>
    <row r="351" customFormat="false" ht="15" hidden="false" customHeight="tru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6" t="str">
        <f aca="false">IF(F351="","",IF(AND(F351&gt;=4,G351&gt;=4,H351&gt;=4,I351&gt;=4),"Proficient",IF(AND(F351&lt;=2,G351&lt;=2,H351&lt;=2,I351&lt;=2),"Emerging","Progressing")))</f>
        <v/>
      </c>
      <c r="K351" s="6" t="str">
        <f aca="false">IF(F351="","",IF(J351="Proficient","Yes","No"))</f>
        <v/>
      </c>
      <c r="L351" s="6" t="str">
        <f aca="false">IF(F351="","",INDEX({"Listening","Speaking","Reading","Writing"},MATCH(MIN(F351:I351),F351:I351,0)))</f>
        <v/>
      </c>
      <c r="M351" s="17"/>
      <c r="N351" s="6" t="str">
        <f aca="false">IF(OR(F351="",M351=""),"",ROUND(AVERAGE(F351:I351)-M351,1))</f>
        <v/>
      </c>
      <c r="O351" s="17"/>
      <c r="P351" s="17"/>
      <c r="Q351" s="17"/>
    </row>
    <row r="352" customFormat="false" ht="15" hidden="false" customHeight="tru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6" t="str">
        <f aca="false">IF(F352="","",IF(AND(F352&gt;=4,G352&gt;=4,H352&gt;=4,I352&gt;=4),"Proficient",IF(AND(F352&lt;=2,G352&lt;=2,H352&lt;=2,I352&lt;=2),"Emerging","Progressing")))</f>
        <v/>
      </c>
      <c r="K352" s="6" t="str">
        <f aca="false">IF(F352="","",IF(J352="Proficient","Yes","No"))</f>
        <v/>
      </c>
      <c r="L352" s="6" t="str">
        <f aca="false">IF(F352="","",INDEX({"Listening","Speaking","Reading","Writing"},MATCH(MIN(F352:I352),F352:I352,0)))</f>
        <v/>
      </c>
      <c r="M352" s="17"/>
      <c r="N352" s="6" t="str">
        <f aca="false">IF(OR(F352="",M352=""),"",ROUND(AVERAGE(F352:I352)-M352,1))</f>
        <v/>
      </c>
      <c r="O352" s="17"/>
      <c r="P352" s="17"/>
      <c r="Q352" s="17"/>
    </row>
    <row r="353" customFormat="false" ht="15" hidden="false" customHeight="tru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6" t="str">
        <f aca="false">IF(F353="","",IF(AND(F353&gt;=4,G353&gt;=4,H353&gt;=4,I353&gt;=4),"Proficient",IF(AND(F353&lt;=2,G353&lt;=2,H353&lt;=2,I353&lt;=2),"Emerging","Progressing")))</f>
        <v/>
      </c>
      <c r="K353" s="6" t="str">
        <f aca="false">IF(F353="","",IF(J353="Proficient","Yes","No"))</f>
        <v/>
      </c>
      <c r="L353" s="6" t="str">
        <f aca="false">IF(F353="","",INDEX({"Listening","Speaking","Reading","Writing"},MATCH(MIN(F353:I353),F353:I353,0)))</f>
        <v/>
      </c>
      <c r="M353" s="17"/>
      <c r="N353" s="6" t="str">
        <f aca="false">IF(OR(F353="",M353=""),"",ROUND(AVERAGE(F353:I353)-M353,1))</f>
        <v/>
      </c>
      <c r="O353" s="17"/>
      <c r="P353" s="17"/>
      <c r="Q353" s="17"/>
    </row>
    <row r="354" customFormat="false" ht="15" hidden="false" customHeight="tru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6" t="str">
        <f aca="false">IF(F354="","",IF(AND(F354&gt;=4,G354&gt;=4,H354&gt;=4,I354&gt;=4),"Proficient",IF(AND(F354&lt;=2,G354&lt;=2,H354&lt;=2,I354&lt;=2),"Emerging","Progressing")))</f>
        <v/>
      </c>
      <c r="K354" s="6" t="str">
        <f aca="false">IF(F354="","",IF(J354="Proficient","Yes","No"))</f>
        <v/>
      </c>
      <c r="L354" s="6" t="str">
        <f aca="false">IF(F354="","",INDEX({"Listening","Speaking","Reading","Writing"},MATCH(MIN(F354:I354),F354:I354,0)))</f>
        <v/>
      </c>
      <c r="M354" s="17"/>
      <c r="N354" s="6" t="str">
        <f aca="false">IF(OR(F354="",M354=""),"",ROUND(AVERAGE(F354:I354)-M354,1))</f>
        <v/>
      </c>
      <c r="O354" s="17"/>
      <c r="P354" s="17"/>
      <c r="Q354" s="17"/>
    </row>
    <row r="355" customFormat="false" ht="15" hidden="false" customHeight="tru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6" t="str">
        <f aca="false">IF(F355="","",IF(AND(F355&gt;=4,G355&gt;=4,H355&gt;=4,I355&gt;=4),"Proficient",IF(AND(F355&lt;=2,G355&lt;=2,H355&lt;=2,I355&lt;=2),"Emerging","Progressing")))</f>
        <v/>
      </c>
      <c r="K355" s="6" t="str">
        <f aca="false">IF(F355="","",IF(J355="Proficient","Yes","No"))</f>
        <v/>
      </c>
      <c r="L355" s="6" t="str">
        <f aca="false">IF(F355="","",INDEX({"Listening","Speaking","Reading","Writing"},MATCH(MIN(F355:I355),F355:I355,0)))</f>
        <v/>
      </c>
      <c r="M355" s="17"/>
      <c r="N355" s="6" t="str">
        <f aca="false">IF(OR(F355="",M355=""),"",ROUND(AVERAGE(F355:I355)-M355,1))</f>
        <v/>
      </c>
      <c r="O355" s="17"/>
      <c r="P355" s="17"/>
      <c r="Q355" s="17"/>
    </row>
    <row r="356" customFormat="false" ht="15" hidden="false" customHeight="tru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6" t="str">
        <f aca="false">IF(F356="","",IF(AND(F356&gt;=4,G356&gt;=4,H356&gt;=4,I356&gt;=4),"Proficient",IF(AND(F356&lt;=2,G356&lt;=2,H356&lt;=2,I356&lt;=2),"Emerging","Progressing")))</f>
        <v/>
      </c>
      <c r="K356" s="6" t="str">
        <f aca="false">IF(F356="","",IF(J356="Proficient","Yes","No"))</f>
        <v/>
      </c>
      <c r="L356" s="6" t="str">
        <f aca="false">IF(F356="","",INDEX({"Listening","Speaking","Reading","Writing"},MATCH(MIN(F356:I356),F356:I356,0)))</f>
        <v/>
      </c>
      <c r="M356" s="17"/>
      <c r="N356" s="6" t="str">
        <f aca="false">IF(OR(F356="",M356=""),"",ROUND(AVERAGE(F356:I356)-M356,1))</f>
        <v/>
      </c>
      <c r="O356" s="17"/>
      <c r="P356" s="17"/>
      <c r="Q356" s="17"/>
    </row>
    <row r="357" customFormat="false" ht="15" hidden="false" customHeight="tru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6" t="str">
        <f aca="false">IF(F357="","",IF(AND(F357&gt;=4,G357&gt;=4,H357&gt;=4,I357&gt;=4),"Proficient",IF(AND(F357&lt;=2,G357&lt;=2,H357&lt;=2,I357&lt;=2),"Emerging","Progressing")))</f>
        <v/>
      </c>
      <c r="K357" s="6" t="str">
        <f aca="false">IF(F357="","",IF(J357="Proficient","Yes","No"))</f>
        <v/>
      </c>
      <c r="L357" s="6" t="str">
        <f aca="false">IF(F357="","",INDEX({"Listening","Speaking","Reading","Writing"},MATCH(MIN(F357:I357),F357:I357,0)))</f>
        <v/>
      </c>
      <c r="M357" s="17"/>
      <c r="N357" s="6" t="str">
        <f aca="false">IF(OR(F357="",M357=""),"",ROUND(AVERAGE(F357:I357)-M357,1))</f>
        <v/>
      </c>
      <c r="O357" s="17"/>
      <c r="P357" s="17"/>
      <c r="Q357" s="17"/>
    </row>
    <row r="358" customFormat="false" ht="15" hidden="false" customHeight="tru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6" t="str">
        <f aca="false">IF(F358="","",IF(AND(F358&gt;=4,G358&gt;=4,H358&gt;=4,I358&gt;=4),"Proficient",IF(AND(F358&lt;=2,G358&lt;=2,H358&lt;=2,I358&lt;=2),"Emerging","Progressing")))</f>
        <v/>
      </c>
      <c r="K358" s="6" t="str">
        <f aca="false">IF(F358="","",IF(J358="Proficient","Yes","No"))</f>
        <v/>
      </c>
      <c r="L358" s="6" t="str">
        <f aca="false">IF(F358="","",INDEX({"Listening","Speaking","Reading","Writing"},MATCH(MIN(F358:I358),F358:I358,0)))</f>
        <v/>
      </c>
      <c r="M358" s="17"/>
      <c r="N358" s="6" t="str">
        <f aca="false">IF(OR(F358="",M358=""),"",ROUND(AVERAGE(F358:I358)-M358,1))</f>
        <v/>
      </c>
      <c r="O358" s="17"/>
      <c r="P358" s="17"/>
      <c r="Q358" s="17"/>
    </row>
    <row r="359" customFormat="false" ht="15" hidden="false" customHeight="tru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6" t="str">
        <f aca="false">IF(F359="","",IF(AND(F359&gt;=4,G359&gt;=4,H359&gt;=4,I359&gt;=4),"Proficient",IF(AND(F359&lt;=2,G359&lt;=2,H359&lt;=2,I359&lt;=2),"Emerging","Progressing")))</f>
        <v/>
      </c>
      <c r="K359" s="6" t="str">
        <f aca="false">IF(F359="","",IF(J359="Proficient","Yes","No"))</f>
        <v/>
      </c>
      <c r="L359" s="6" t="str">
        <f aca="false">IF(F359="","",INDEX({"Listening","Speaking","Reading","Writing"},MATCH(MIN(F359:I359),F359:I359,0)))</f>
        <v/>
      </c>
      <c r="M359" s="17"/>
      <c r="N359" s="6" t="str">
        <f aca="false">IF(OR(F359="",M359=""),"",ROUND(AVERAGE(F359:I359)-M359,1))</f>
        <v/>
      </c>
      <c r="O359" s="17"/>
      <c r="P359" s="17"/>
      <c r="Q359" s="17"/>
    </row>
    <row r="360" customFormat="false" ht="15" hidden="false" customHeight="tru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6" t="str">
        <f aca="false">IF(F360="","",IF(AND(F360&gt;=4,G360&gt;=4,H360&gt;=4,I360&gt;=4),"Proficient",IF(AND(F360&lt;=2,G360&lt;=2,H360&lt;=2,I360&lt;=2),"Emerging","Progressing")))</f>
        <v/>
      </c>
      <c r="K360" s="6" t="str">
        <f aca="false">IF(F360="","",IF(J360="Proficient","Yes","No"))</f>
        <v/>
      </c>
      <c r="L360" s="6" t="str">
        <f aca="false">IF(F360="","",INDEX({"Listening","Speaking","Reading","Writing"},MATCH(MIN(F360:I360),F360:I360,0)))</f>
        <v/>
      </c>
      <c r="M360" s="17"/>
      <c r="N360" s="6" t="str">
        <f aca="false">IF(OR(F360="",M360=""),"",ROUND(AVERAGE(F360:I360)-M360,1))</f>
        <v/>
      </c>
      <c r="O360" s="17"/>
      <c r="P360" s="17"/>
      <c r="Q360" s="17"/>
    </row>
    <row r="361" customFormat="false" ht="15" hidden="false" customHeight="tru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6" t="str">
        <f aca="false">IF(F361="","",IF(AND(F361&gt;=4,G361&gt;=4,H361&gt;=4,I361&gt;=4),"Proficient",IF(AND(F361&lt;=2,G361&lt;=2,H361&lt;=2,I361&lt;=2),"Emerging","Progressing")))</f>
        <v/>
      </c>
      <c r="K361" s="6" t="str">
        <f aca="false">IF(F361="","",IF(J361="Proficient","Yes","No"))</f>
        <v/>
      </c>
      <c r="L361" s="6" t="str">
        <f aca="false">IF(F361="","",INDEX({"Listening","Speaking","Reading","Writing"},MATCH(MIN(F361:I361),F361:I361,0)))</f>
        <v/>
      </c>
      <c r="M361" s="17"/>
      <c r="N361" s="6" t="str">
        <f aca="false">IF(OR(F361="",M361=""),"",ROUND(AVERAGE(F361:I361)-M361,1))</f>
        <v/>
      </c>
      <c r="O361" s="17"/>
      <c r="P361" s="17"/>
      <c r="Q361" s="17"/>
    </row>
    <row r="362" customFormat="false" ht="15" hidden="false" customHeight="tru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6" t="str">
        <f aca="false">IF(F362="","",IF(AND(F362&gt;=4,G362&gt;=4,H362&gt;=4,I362&gt;=4),"Proficient",IF(AND(F362&lt;=2,G362&lt;=2,H362&lt;=2,I362&lt;=2),"Emerging","Progressing")))</f>
        <v/>
      </c>
      <c r="K362" s="6" t="str">
        <f aca="false">IF(F362="","",IF(J362="Proficient","Yes","No"))</f>
        <v/>
      </c>
      <c r="L362" s="6" t="str">
        <f aca="false">IF(F362="","",INDEX({"Listening","Speaking","Reading","Writing"},MATCH(MIN(F362:I362),F362:I362,0)))</f>
        <v/>
      </c>
      <c r="M362" s="17"/>
      <c r="N362" s="6" t="str">
        <f aca="false">IF(OR(F362="",M362=""),"",ROUND(AVERAGE(F362:I362)-M362,1))</f>
        <v/>
      </c>
      <c r="O362" s="17"/>
      <c r="P362" s="17"/>
      <c r="Q362" s="17"/>
    </row>
    <row r="363" customFormat="false" ht="15" hidden="false" customHeight="tru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6" t="str">
        <f aca="false">IF(F363="","",IF(AND(F363&gt;=4,G363&gt;=4,H363&gt;=4,I363&gt;=4),"Proficient",IF(AND(F363&lt;=2,G363&lt;=2,H363&lt;=2,I363&lt;=2),"Emerging","Progressing")))</f>
        <v/>
      </c>
      <c r="K363" s="6" t="str">
        <f aca="false">IF(F363="","",IF(J363="Proficient","Yes","No"))</f>
        <v/>
      </c>
      <c r="L363" s="6" t="str">
        <f aca="false">IF(F363="","",INDEX({"Listening","Speaking","Reading","Writing"},MATCH(MIN(F363:I363),F363:I363,0)))</f>
        <v/>
      </c>
      <c r="M363" s="17"/>
      <c r="N363" s="6" t="str">
        <f aca="false">IF(OR(F363="",M363=""),"",ROUND(AVERAGE(F363:I363)-M363,1))</f>
        <v/>
      </c>
      <c r="O363" s="17"/>
      <c r="P363" s="17"/>
      <c r="Q363" s="17"/>
    </row>
    <row r="364" customFormat="false" ht="15" hidden="false" customHeight="tru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6" t="str">
        <f aca="false">IF(F364="","",IF(AND(F364&gt;=4,G364&gt;=4,H364&gt;=4,I364&gt;=4),"Proficient",IF(AND(F364&lt;=2,G364&lt;=2,H364&lt;=2,I364&lt;=2),"Emerging","Progressing")))</f>
        <v/>
      </c>
      <c r="K364" s="6" t="str">
        <f aca="false">IF(F364="","",IF(J364="Proficient","Yes","No"))</f>
        <v/>
      </c>
      <c r="L364" s="6" t="str">
        <f aca="false">IF(F364="","",INDEX({"Listening","Speaking","Reading","Writing"},MATCH(MIN(F364:I364),F364:I364,0)))</f>
        <v/>
      </c>
      <c r="M364" s="17"/>
      <c r="N364" s="6" t="str">
        <f aca="false">IF(OR(F364="",M364=""),"",ROUND(AVERAGE(F364:I364)-M364,1))</f>
        <v/>
      </c>
      <c r="O364" s="17"/>
      <c r="P364" s="17"/>
      <c r="Q364" s="17"/>
    </row>
    <row r="365" customFormat="false" ht="15" hidden="false" customHeight="tru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6" t="str">
        <f aca="false">IF(F365="","",IF(AND(F365&gt;=4,G365&gt;=4,H365&gt;=4,I365&gt;=4),"Proficient",IF(AND(F365&lt;=2,G365&lt;=2,H365&lt;=2,I365&lt;=2),"Emerging","Progressing")))</f>
        <v/>
      </c>
      <c r="K365" s="6" t="str">
        <f aca="false">IF(F365="","",IF(J365="Proficient","Yes","No"))</f>
        <v/>
      </c>
      <c r="L365" s="6" t="str">
        <f aca="false">IF(F365="","",INDEX({"Listening","Speaking","Reading","Writing"},MATCH(MIN(F365:I365),F365:I365,0)))</f>
        <v/>
      </c>
      <c r="M365" s="17"/>
      <c r="N365" s="6" t="str">
        <f aca="false">IF(OR(F365="",M365=""),"",ROUND(AVERAGE(F365:I365)-M365,1))</f>
        <v/>
      </c>
      <c r="O365" s="17"/>
      <c r="P365" s="17"/>
      <c r="Q365" s="17"/>
    </row>
    <row r="366" customFormat="false" ht="15" hidden="false" customHeight="tru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6" t="str">
        <f aca="false">IF(F366="","",IF(AND(F366&gt;=4,G366&gt;=4,H366&gt;=4,I366&gt;=4),"Proficient",IF(AND(F366&lt;=2,G366&lt;=2,H366&lt;=2,I366&lt;=2),"Emerging","Progressing")))</f>
        <v/>
      </c>
      <c r="K366" s="6" t="str">
        <f aca="false">IF(F366="","",IF(J366="Proficient","Yes","No"))</f>
        <v/>
      </c>
      <c r="L366" s="6" t="str">
        <f aca="false">IF(F366="","",INDEX({"Listening","Speaking","Reading","Writing"},MATCH(MIN(F366:I366),F366:I366,0)))</f>
        <v/>
      </c>
      <c r="M366" s="17"/>
      <c r="N366" s="6" t="str">
        <f aca="false">IF(OR(F366="",M366=""),"",ROUND(AVERAGE(F366:I366)-M366,1))</f>
        <v/>
      </c>
      <c r="O366" s="17"/>
      <c r="P366" s="17"/>
      <c r="Q366" s="17"/>
    </row>
    <row r="367" customFormat="false" ht="15" hidden="false" customHeight="tru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6" t="str">
        <f aca="false">IF(F367="","",IF(AND(F367&gt;=4,G367&gt;=4,H367&gt;=4,I367&gt;=4),"Proficient",IF(AND(F367&lt;=2,G367&lt;=2,H367&lt;=2,I367&lt;=2),"Emerging","Progressing")))</f>
        <v/>
      </c>
      <c r="K367" s="6" t="str">
        <f aca="false">IF(F367="","",IF(J367="Proficient","Yes","No"))</f>
        <v/>
      </c>
      <c r="L367" s="6" t="str">
        <f aca="false">IF(F367="","",INDEX({"Listening","Speaking","Reading","Writing"},MATCH(MIN(F367:I367),F367:I367,0)))</f>
        <v/>
      </c>
      <c r="M367" s="17"/>
      <c r="N367" s="6" t="str">
        <f aca="false">IF(OR(F367="",M367=""),"",ROUND(AVERAGE(F367:I367)-M367,1))</f>
        <v/>
      </c>
      <c r="O367" s="17"/>
      <c r="P367" s="17"/>
      <c r="Q367" s="17"/>
    </row>
    <row r="368" customFormat="false" ht="15" hidden="false" customHeight="tru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6" t="str">
        <f aca="false">IF(F368="","",IF(AND(F368&gt;=4,G368&gt;=4,H368&gt;=4,I368&gt;=4),"Proficient",IF(AND(F368&lt;=2,G368&lt;=2,H368&lt;=2,I368&lt;=2),"Emerging","Progressing")))</f>
        <v/>
      </c>
      <c r="K368" s="6" t="str">
        <f aca="false">IF(F368="","",IF(J368="Proficient","Yes","No"))</f>
        <v/>
      </c>
      <c r="L368" s="6" t="str">
        <f aca="false">IF(F368="","",INDEX({"Listening","Speaking","Reading","Writing"},MATCH(MIN(F368:I368),F368:I368,0)))</f>
        <v/>
      </c>
      <c r="M368" s="17"/>
      <c r="N368" s="6" t="str">
        <f aca="false">IF(OR(F368="",M368=""),"",ROUND(AVERAGE(F368:I368)-M368,1))</f>
        <v/>
      </c>
      <c r="O368" s="17"/>
      <c r="P368" s="17"/>
      <c r="Q368" s="17"/>
    </row>
    <row r="369" customFormat="false" ht="15" hidden="false" customHeight="tru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6" t="str">
        <f aca="false">IF(F369="","",IF(AND(F369&gt;=4,G369&gt;=4,H369&gt;=4,I369&gt;=4),"Proficient",IF(AND(F369&lt;=2,G369&lt;=2,H369&lt;=2,I369&lt;=2),"Emerging","Progressing")))</f>
        <v/>
      </c>
      <c r="K369" s="6" t="str">
        <f aca="false">IF(F369="","",IF(J369="Proficient","Yes","No"))</f>
        <v/>
      </c>
      <c r="L369" s="6" t="str">
        <f aca="false">IF(F369="","",INDEX({"Listening","Speaking","Reading","Writing"},MATCH(MIN(F369:I369),F369:I369,0)))</f>
        <v/>
      </c>
      <c r="M369" s="17"/>
      <c r="N369" s="6" t="str">
        <f aca="false">IF(OR(F369="",M369=""),"",ROUND(AVERAGE(F369:I369)-M369,1))</f>
        <v/>
      </c>
      <c r="O369" s="17"/>
      <c r="P369" s="17"/>
      <c r="Q369" s="17"/>
    </row>
    <row r="370" customFormat="false" ht="15" hidden="false" customHeight="tru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6" t="str">
        <f aca="false">IF(F370="","",IF(AND(F370&gt;=4,G370&gt;=4,H370&gt;=4,I370&gt;=4),"Proficient",IF(AND(F370&lt;=2,G370&lt;=2,H370&lt;=2,I370&lt;=2),"Emerging","Progressing")))</f>
        <v/>
      </c>
      <c r="K370" s="6" t="str">
        <f aca="false">IF(F370="","",IF(J370="Proficient","Yes","No"))</f>
        <v/>
      </c>
      <c r="L370" s="6" t="str">
        <f aca="false">IF(F370="","",INDEX({"Listening","Speaking","Reading","Writing"},MATCH(MIN(F370:I370),F370:I370,0)))</f>
        <v/>
      </c>
      <c r="M370" s="17"/>
      <c r="N370" s="6" t="str">
        <f aca="false">IF(OR(F370="",M370=""),"",ROUND(AVERAGE(F370:I370)-M370,1))</f>
        <v/>
      </c>
      <c r="O370" s="17"/>
      <c r="P370" s="17"/>
      <c r="Q370" s="17"/>
    </row>
    <row r="371" customFormat="false" ht="15" hidden="false" customHeight="tru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6" t="str">
        <f aca="false">IF(F371="","",IF(AND(F371&gt;=4,G371&gt;=4,H371&gt;=4,I371&gt;=4),"Proficient",IF(AND(F371&lt;=2,G371&lt;=2,H371&lt;=2,I371&lt;=2),"Emerging","Progressing")))</f>
        <v/>
      </c>
      <c r="K371" s="6" t="str">
        <f aca="false">IF(F371="","",IF(J371="Proficient","Yes","No"))</f>
        <v/>
      </c>
      <c r="L371" s="6" t="str">
        <f aca="false">IF(F371="","",INDEX({"Listening","Speaking","Reading","Writing"},MATCH(MIN(F371:I371),F371:I371,0)))</f>
        <v/>
      </c>
      <c r="M371" s="17"/>
      <c r="N371" s="6" t="str">
        <f aca="false">IF(OR(F371="",M371=""),"",ROUND(AVERAGE(F371:I371)-M371,1))</f>
        <v/>
      </c>
      <c r="O371" s="17"/>
      <c r="P371" s="17"/>
      <c r="Q371" s="17"/>
    </row>
    <row r="372" customFormat="false" ht="15" hidden="false" customHeight="tru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6" t="str">
        <f aca="false">IF(F372="","",IF(AND(F372&gt;=4,G372&gt;=4,H372&gt;=4,I372&gt;=4),"Proficient",IF(AND(F372&lt;=2,G372&lt;=2,H372&lt;=2,I372&lt;=2),"Emerging","Progressing")))</f>
        <v/>
      </c>
      <c r="K372" s="6" t="str">
        <f aca="false">IF(F372="","",IF(J372="Proficient","Yes","No"))</f>
        <v/>
      </c>
      <c r="L372" s="6" t="str">
        <f aca="false">IF(F372="","",INDEX({"Listening","Speaking","Reading","Writing"},MATCH(MIN(F372:I372),F372:I372,0)))</f>
        <v/>
      </c>
      <c r="M372" s="17"/>
      <c r="N372" s="6" t="str">
        <f aca="false">IF(OR(F372="",M372=""),"",ROUND(AVERAGE(F372:I372)-M372,1))</f>
        <v/>
      </c>
      <c r="O372" s="17"/>
      <c r="P372" s="17"/>
      <c r="Q372" s="17"/>
    </row>
    <row r="373" customFormat="false" ht="15" hidden="false" customHeight="tru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6" t="str">
        <f aca="false">IF(F373="","",IF(AND(F373&gt;=4,G373&gt;=4,H373&gt;=4,I373&gt;=4),"Proficient",IF(AND(F373&lt;=2,G373&lt;=2,H373&lt;=2,I373&lt;=2),"Emerging","Progressing")))</f>
        <v/>
      </c>
      <c r="K373" s="6" t="str">
        <f aca="false">IF(F373="","",IF(J373="Proficient","Yes","No"))</f>
        <v/>
      </c>
      <c r="L373" s="6" t="str">
        <f aca="false">IF(F373="","",INDEX({"Listening","Speaking","Reading","Writing"},MATCH(MIN(F373:I373),F373:I373,0)))</f>
        <v/>
      </c>
      <c r="M373" s="17"/>
      <c r="N373" s="6" t="str">
        <f aca="false">IF(OR(F373="",M373=""),"",ROUND(AVERAGE(F373:I373)-M373,1))</f>
        <v/>
      </c>
      <c r="O373" s="17"/>
      <c r="P373" s="17"/>
      <c r="Q373" s="17"/>
    </row>
    <row r="374" customFormat="false" ht="15" hidden="false" customHeight="tru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6" t="str">
        <f aca="false">IF(F374="","",IF(AND(F374&gt;=4,G374&gt;=4,H374&gt;=4,I374&gt;=4),"Proficient",IF(AND(F374&lt;=2,G374&lt;=2,H374&lt;=2,I374&lt;=2),"Emerging","Progressing")))</f>
        <v/>
      </c>
      <c r="K374" s="6" t="str">
        <f aca="false">IF(F374="","",IF(J374="Proficient","Yes","No"))</f>
        <v/>
      </c>
      <c r="L374" s="6" t="str">
        <f aca="false">IF(F374="","",INDEX({"Listening","Speaking","Reading","Writing"},MATCH(MIN(F374:I374),F374:I374,0)))</f>
        <v/>
      </c>
      <c r="M374" s="17"/>
      <c r="N374" s="6" t="str">
        <f aca="false">IF(OR(F374="",M374=""),"",ROUND(AVERAGE(F374:I374)-M374,1))</f>
        <v/>
      </c>
      <c r="O374" s="17"/>
      <c r="P374" s="17"/>
      <c r="Q374" s="17"/>
    </row>
    <row r="375" customFormat="false" ht="15" hidden="false" customHeight="tru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6" t="str">
        <f aca="false">IF(F375="","",IF(AND(F375&gt;=4,G375&gt;=4,H375&gt;=4,I375&gt;=4),"Proficient",IF(AND(F375&lt;=2,G375&lt;=2,H375&lt;=2,I375&lt;=2),"Emerging","Progressing")))</f>
        <v/>
      </c>
      <c r="K375" s="6" t="str">
        <f aca="false">IF(F375="","",IF(J375="Proficient","Yes","No"))</f>
        <v/>
      </c>
      <c r="L375" s="6" t="str">
        <f aca="false">IF(F375="","",INDEX({"Listening","Speaking","Reading","Writing"},MATCH(MIN(F375:I375),F375:I375,0)))</f>
        <v/>
      </c>
      <c r="M375" s="17"/>
      <c r="N375" s="6" t="str">
        <f aca="false">IF(OR(F375="",M375=""),"",ROUND(AVERAGE(F375:I375)-M375,1))</f>
        <v/>
      </c>
      <c r="O375" s="17"/>
      <c r="P375" s="17"/>
      <c r="Q375" s="17"/>
    </row>
    <row r="376" customFormat="false" ht="15" hidden="false" customHeight="tru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6" t="str">
        <f aca="false">IF(F376="","",IF(AND(F376&gt;=4,G376&gt;=4,H376&gt;=4,I376&gt;=4),"Proficient",IF(AND(F376&lt;=2,G376&lt;=2,H376&lt;=2,I376&lt;=2),"Emerging","Progressing")))</f>
        <v/>
      </c>
      <c r="K376" s="6" t="str">
        <f aca="false">IF(F376="","",IF(J376="Proficient","Yes","No"))</f>
        <v/>
      </c>
      <c r="L376" s="6" t="str">
        <f aca="false">IF(F376="","",INDEX({"Listening","Speaking","Reading","Writing"},MATCH(MIN(F376:I376),F376:I376,0)))</f>
        <v/>
      </c>
      <c r="M376" s="17"/>
      <c r="N376" s="6" t="str">
        <f aca="false">IF(OR(F376="",M376=""),"",ROUND(AVERAGE(F376:I376)-M376,1))</f>
        <v/>
      </c>
      <c r="O376" s="17"/>
      <c r="P376" s="17"/>
      <c r="Q376" s="17"/>
    </row>
    <row r="377" customFormat="false" ht="15" hidden="false" customHeight="tru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6" t="str">
        <f aca="false">IF(F377="","",IF(AND(F377&gt;=4,G377&gt;=4,H377&gt;=4,I377&gt;=4),"Proficient",IF(AND(F377&lt;=2,G377&lt;=2,H377&lt;=2,I377&lt;=2),"Emerging","Progressing")))</f>
        <v/>
      </c>
      <c r="K377" s="6" t="str">
        <f aca="false">IF(F377="","",IF(J377="Proficient","Yes","No"))</f>
        <v/>
      </c>
      <c r="L377" s="6" t="str">
        <f aca="false">IF(F377="","",INDEX({"Listening","Speaking","Reading","Writing"},MATCH(MIN(F377:I377),F377:I377,0)))</f>
        <v/>
      </c>
      <c r="M377" s="17"/>
      <c r="N377" s="6" t="str">
        <f aca="false">IF(OR(F377="",M377=""),"",ROUND(AVERAGE(F377:I377)-M377,1))</f>
        <v/>
      </c>
      <c r="O377" s="17"/>
      <c r="P377" s="17"/>
      <c r="Q377" s="17"/>
    </row>
    <row r="378" customFormat="false" ht="15" hidden="false" customHeight="tru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6" t="str">
        <f aca="false">IF(F378="","",IF(AND(F378&gt;=4,G378&gt;=4,H378&gt;=4,I378&gt;=4),"Proficient",IF(AND(F378&lt;=2,G378&lt;=2,H378&lt;=2,I378&lt;=2),"Emerging","Progressing")))</f>
        <v/>
      </c>
      <c r="K378" s="6" t="str">
        <f aca="false">IF(F378="","",IF(J378="Proficient","Yes","No"))</f>
        <v/>
      </c>
      <c r="L378" s="6" t="str">
        <f aca="false">IF(F378="","",INDEX({"Listening","Speaking","Reading","Writing"},MATCH(MIN(F378:I378),F378:I378,0)))</f>
        <v/>
      </c>
      <c r="M378" s="17"/>
      <c r="N378" s="6" t="str">
        <f aca="false">IF(OR(F378="",M378=""),"",ROUND(AVERAGE(F378:I378)-M378,1))</f>
        <v/>
      </c>
      <c r="O378" s="17"/>
      <c r="P378" s="17"/>
      <c r="Q378" s="17"/>
    </row>
    <row r="379" customFormat="false" ht="15" hidden="false" customHeight="tru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6" t="str">
        <f aca="false">IF(F379="","",IF(AND(F379&gt;=4,G379&gt;=4,H379&gt;=4,I379&gt;=4),"Proficient",IF(AND(F379&lt;=2,G379&lt;=2,H379&lt;=2,I379&lt;=2),"Emerging","Progressing")))</f>
        <v/>
      </c>
      <c r="K379" s="6" t="str">
        <f aca="false">IF(F379="","",IF(J379="Proficient","Yes","No"))</f>
        <v/>
      </c>
      <c r="L379" s="6" t="str">
        <f aca="false">IF(F379="","",INDEX({"Listening","Speaking","Reading","Writing"},MATCH(MIN(F379:I379),F379:I379,0)))</f>
        <v/>
      </c>
      <c r="M379" s="17"/>
      <c r="N379" s="6" t="str">
        <f aca="false">IF(OR(F379="",M379=""),"",ROUND(AVERAGE(F379:I379)-M379,1))</f>
        <v/>
      </c>
      <c r="O379" s="17"/>
      <c r="P379" s="17"/>
      <c r="Q379" s="17"/>
    </row>
    <row r="380" customFormat="false" ht="15" hidden="false" customHeight="tru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6" t="str">
        <f aca="false">IF(F380="","",IF(AND(F380&gt;=4,G380&gt;=4,H380&gt;=4,I380&gt;=4),"Proficient",IF(AND(F380&lt;=2,G380&lt;=2,H380&lt;=2,I380&lt;=2),"Emerging","Progressing")))</f>
        <v/>
      </c>
      <c r="K380" s="6" t="str">
        <f aca="false">IF(F380="","",IF(J380="Proficient","Yes","No"))</f>
        <v/>
      </c>
      <c r="L380" s="6" t="str">
        <f aca="false">IF(F380="","",INDEX({"Listening","Speaking","Reading","Writing"},MATCH(MIN(F380:I380),F380:I380,0)))</f>
        <v/>
      </c>
      <c r="M380" s="17"/>
      <c r="N380" s="6" t="str">
        <f aca="false">IF(OR(F380="",M380=""),"",ROUND(AVERAGE(F380:I380)-M380,1))</f>
        <v/>
      </c>
      <c r="O380" s="17"/>
      <c r="P380" s="17"/>
      <c r="Q380" s="17"/>
    </row>
    <row r="381" customFormat="false" ht="15" hidden="false" customHeight="tru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6" t="str">
        <f aca="false">IF(F381="","",IF(AND(F381&gt;=4,G381&gt;=4,H381&gt;=4,I381&gt;=4),"Proficient",IF(AND(F381&lt;=2,G381&lt;=2,H381&lt;=2,I381&lt;=2),"Emerging","Progressing")))</f>
        <v/>
      </c>
      <c r="K381" s="6" t="str">
        <f aca="false">IF(F381="","",IF(J381="Proficient","Yes","No"))</f>
        <v/>
      </c>
      <c r="L381" s="6" t="str">
        <f aca="false">IF(F381="","",INDEX({"Listening","Speaking","Reading","Writing"},MATCH(MIN(F381:I381),F381:I381,0)))</f>
        <v/>
      </c>
      <c r="M381" s="17"/>
      <c r="N381" s="6" t="str">
        <f aca="false">IF(OR(F381="",M381=""),"",ROUND(AVERAGE(F381:I381)-M381,1))</f>
        <v/>
      </c>
      <c r="O381" s="17"/>
      <c r="P381" s="17"/>
      <c r="Q381" s="17"/>
    </row>
    <row r="382" customFormat="false" ht="15" hidden="false" customHeight="tru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6" t="str">
        <f aca="false">IF(F382="","",IF(AND(F382&gt;=4,G382&gt;=4,H382&gt;=4,I382&gt;=4),"Proficient",IF(AND(F382&lt;=2,G382&lt;=2,H382&lt;=2,I382&lt;=2),"Emerging","Progressing")))</f>
        <v/>
      </c>
      <c r="K382" s="6" t="str">
        <f aca="false">IF(F382="","",IF(J382="Proficient","Yes","No"))</f>
        <v/>
      </c>
      <c r="L382" s="6" t="str">
        <f aca="false">IF(F382="","",INDEX({"Listening","Speaking","Reading","Writing"},MATCH(MIN(F382:I382),F382:I382,0)))</f>
        <v/>
      </c>
      <c r="M382" s="17"/>
      <c r="N382" s="6" t="str">
        <f aca="false">IF(OR(F382="",M382=""),"",ROUND(AVERAGE(F382:I382)-M382,1))</f>
        <v/>
      </c>
      <c r="O382" s="17"/>
      <c r="P382" s="17"/>
      <c r="Q382" s="17"/>
    </row>
    <row r="383" customFormat="false" ht="15" hidden="false" customHeight="tru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6" t="str">
        <f aca="false">IF(F383="","",IF(AND(F383&gt;=4,G383&gt;=4,H383&gt;=4,I383&gt;=4),"Proficient",IF(AND(F383&lt;=2,G383&lt;=2,H383&lt;=2,I383&lt;=2),"Emerging","Progressing")))</f>
        <v/>
      </c>
      <c r="K383" s="6" t="str">
        <f aca="false">IF(F383="","",IF(J383="Proficient","Yes","No"))</f>
        <v/>
      </c>
      <c r="L383" s="6" t="str">
        <f aca="false">IF(F383="","",INDEX({"Listening","Speaking","Reading","Writing"},MATCH(MIN(F383:I383),F383:I383,0)))</f>
        <v/>
      </c>
      <c r="M383" s="17"/>
      <c r="N383" s="6" t="str">
        <f aca="false">IF(OR(F383="",M383=""),"",ROUND(AVERAGE(F383:I383)-M383,1))</f>
        <v/>
      </c>
      <c r="O383" s="17"/>
      <c r="P383" s="17"/>
      <c r="Q383" s="17"/>
    </row>
    <row r="384" customFormat="false" ht="15" hidden="false" customHeight="tru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6" t="str">
        <f aca="false">IF(F384="","",IF(AND(F384&gt;=4,G384&gt;=4,H384&gt;=4,I384&gt;=4),"Proficient",IF(AND(F384&lt;=2,G384&lt;=2,H384&lt;=2,I384&lt;=2),"Emerging","Progressing")))</f>
        <v/>
      </c>
      <c r="K384" s="6" t="str">
        <f aca="false">IF(F384="","",IF(J384="Proficient","Yes","No"))</f>
        <v/>
      </c>
      <c r="L384" s="6" t="str">
        <f aca="false">IF(F384="","",INDEX({"Listening","Speaking","Reading","Writing"},MATCH(MIN(F384:I384),F384:I384,0)))</f>
        <v/>
      </c>
      <c r="M384" s="17"/>
      <c r="N384" s="6" t="str">
        <f aca="false">IF(OR(F384="",M384=""),"",ROUND(AVERAGE(F384:I384)-M384,1))</f>
        <v/>
      </c>
      <c r="O384" s="17"/>
      <c r="P384" s="17"/>
      <c r="Q384" s="17"/>
    </row>
    <row r="385" customFormat="false" ht="15" hidden="false" customHeight="tru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6" t="str">
        <f aca="false">IF(F385="","",IF(AND(F385&gt;=4,G385&gt;=4,H385&gt;=4,I385&gt;=4),"Proficient",IF(AND(F385&lt;=2,G385&lt;=2,H385&lt;=2,I385&lt;=2),"Emerging","Progressing")))</f>
        <v/>
      </c>
      <c r="K385" s="6" t="str">
        <f aca="false">IF(F385="","",IF(J385="Proficient","Yes","No"))</f>
        <v/>
      </c>
      <c r="L385" s="6" t="str">
        <f aca="false">IF(F385="","",INDEX({"Listening","Speaking","Reading","Writing"},MATCH(MIN(F385:I385),F385:I385,0)))</f>
        <v/>
      </c>
      <c r="M385" s="17"/>
      <c r="N385" s="6" t="str">
        <f aca="false">IF(OR(F385="",M385=""),"",ROUND(AVERAGE(F385:I385)-M385,1))</f>
        <v/>
      </c>
      <c r="O385" s="17"/>
      <c r="P385" s="17"/>
      <c r="Q385" s="17"/>
    </row>
    <row r="386" customFormat="false" ht="15" hidden="false" customHeight="tru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6" t="str">
        <f aca="false">IF(F386="","",IF(AND(F386&gt;=4,G386&gt;=4,H386&gt;=4,I386&gt;=4),"Proficient",IF(AND(F386&lt;=2,G386&lt;=2,H386&lt;=2,I386&lt;=2),"Emerging","Progressing")))</f>
        <v/>
      </c>
      <c r="K386" s="6" t="str">
        <f aca="false">IF(F386="","",IF(J386="Proficient","Yes","No"))</f>
        <v/>
      </c>
      <c r="L386" s="6" t="str">
        <f aca="false">IF(F386="","",INDEX({"Listening","Speaking","Reading","Writing"},MATCH(MIN(F386:I386),F386:I386,0)))</f>
        <v/>
      </c>
      <c r="M386" s="17"/>
      <c r="N386" s="6" t="str">
        <f aca="false">IF(OR(F386="",M386=""),"",ROUND(AVERAGE(F386:I386)-M386,1))</f>
        <v/>
      </c>
      <c r="O386" s="17"/>
      <c r="P386" s="17"/>
      <c r="Q386" s="17"/>
    </row>
    <row r="387" customFormat="false" ht="15" hidden="false" customHeight="tru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6" t="str">
        <f aca="false">IF(F387="","",IF(AND(F387&gt;=4,G387&gt;=4,H387&gt;=4,I387&gt;=4),"Proficient",IF(AND(F387&lt;=2,G387&lt;=2,H387&lt;=2,I387&lt;=2),"Emerging","Progressing")))</f>
        <v/>
      </c>
      <c r="K387" s="6" t="str">
        <f aca="false">IF(F387="","",IF(J387="Proficient","Yes","No"))</f>
        <v/>
      </c>
      <c r="L387" s="6" t="str">
        <f aca="false">IF(F387="","",INDEX({"Listening","Speaking","Reading","Writing"},MATCH(MIN(F387:I387),F387:I387,0)))</f>
        <v/>
      </c>
      <c r="M387" s="17"/>
      <c r="N387" s="6" t="str">
        <f aca="false">IF(OR(F387="",M387=""),"",ROUND(AVERAGE(F387:I387)-M387,1))</f>
        <v/>
      </c>
      <c r="O387" s="17"/>
      <c r="P387" s="17"/>
      <c r="Q387" s="17"/>
    </row>
    <row r="388" customFormat="false" ht="15" hidden="false" customHeight="tru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6" t="str">
        <f aca="false">IF(F388="","",IF(AND(F388&gt;=4,G388&gt;=4,H388&gt;=4,I388&gt;=4),"Proficient",IF(AND(F388&lt;=2,G388&lt;=2,H388&lt;=2,I388&lt;=2),"Emerging","Progressing")))</f>
        <v/>
      </c>
      <c r="K388" s="6" t="str">
        <f aca="false">IF(F388="","",IF(J388="Proficient","Yes","No"))</f>
        <v/>
      </c>
      <c r="L388" s="6" t="str">
        <f aca="false">IF(F388="","",INDEX({"Listening","Speaking","Reading","Writing"},MATCH(MIN(F388:I388),F388:I388,0)))</f>
        <v/>
      </c>
      <c r="M388" s="17"/>
      <c r="N388" s="6" t="str">
        <f aca="false">IF(OR(F388="",M388=""),"",ROUND(AVERAGE(F388:I388)-M388,1))</f>
        <v/>
      </c>
      <c r="O388" s="17"/>
      <c r="P388" s="17"/>
      <c r="Q388" s="17"/>
    </row>
    <row r="389" customFormat="false" ht="15" hidden="false" customHeight="tru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6" t="str">
        <f aca="false">IF(F389="","",IF(AND(F389&gt;=4,G389&gt;=4,H389&gt;=4,I389&gt;=4),"Proficient",IF(AND(F389&lt;=2,G389&lt;=2,H389&lt;=2,I389&lt;=2),"Emerging","Progressing")))</f>
        <v/>
      </c>
      <c r="K389" s="6" t="str">
        <f aca="false">IF(F389="","",IF(J389="Proficient","Yes","No"))</f>
        <v/>
      </c>
      <c r="L389" s="6" t="str">
        <f aca="false">IF(F389="","",INDEX({"Listening","Speaking","Reading","Writing"},MATCH(MIN(F389:I389),F389:I389,0)))</f>
        <v/>
      </c>
      <c r="M389" s="17"/>
      <c r="N389" s="6" t="str">
        <f aca="false">IF(OR(F389="",M389=""),"",ROUND(AVERAGE(F389:I389)-M389,1))</f>
        <v/>
      </c>
      <c r="O389" s="17"/>
      <c r="P389" s="17"/>
      <c r="Q389" s="17"/>
    </row>
    <row r="390" customFormat="false" ht="15" hidden="false" customHeight="tru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6" t="str">
        <f aca="false">IF(F390="","",IF(AND(F390&gt;=4,G390&gt;=4,H390&gt;=4,I390&gt;=4),"Proficient",IF(AND(F390&lt;=2,G390&lt;=2,H390&lt;=2,I390&lt;=2),"Emerging","Progressing")))</f>
        <v/>
      </c>
      <c r="K390" s="6" t="str">
        <f aca="false">IF(F390="","",IF(J390="Proficient","Yes","No"))</f>
        <v/>
      </c>
      <c r="L390" s="6" t="str">
        <f aca="false">IF(F390="","",INDEX({"Listening","Speaking","Reading","Writing"},MATCH(MIN(F390:I390),F390:I390,0)))</f>
        <v/>
      </c>
      <c r="M390" s="17"/>
      <c r="N390" s="6" t="str">
        <f aca="false">IF(OR(F390="",M390=""),"",ROUND(AVERAGE(F390:I390)-M390,1))</f>
        <v/>
      </c>
      <c r="O390" s="17"/>
      <c r="P390" s="17"/>
      <c r="Q390" s="17"/>
    </row>
    <row r="391" customFormat="false" ht="15" hidden="false" customHeight="tru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6" t="str">
        <f aca="false">IF(F391="","",IF(AND(F391&gt;=4,G391&gt;=4,H391&gt;=4,I391&gt;=4),"Proficient",IF(AND(F391&lt;=2,G391&lt;=2,H391&lt;=2,I391&lt;=2),"Emerging","Progressing")))</f>
        <v/>
      </c>
      <c r="K391" s="6" t="str">
        <f aca="false">IF(F391="","",IF(J391="Proficient","Yes","No"))</f>
        <v/>
      </c>
      <c r="L391" s="6" t="str">
        <f aca="false">IF(F391="","",INDEX({"Listening","Speaking","Reading","Writing"},MATCH(MIN(F391:I391),F391:I391,0)))</f>
        <v/>
      </c>
      <c r="M391" s="17"/>
      <c r="N391" s="6" t="str">
        <f aca="false">IF(OR(F391="",M391=""),"",ROUND(AVERAGE(F391:I391)-M391,1))</f>
        <v/>
      </c>
      <c r="O391" s="17"/>
      <c r="P391" s="17"/>
      <c r="Q391" s="17"/>
    </row>
    <row r="392" customFormat="false" ht="15" hidden="false" customHeight="tru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6" t="str">
        <f aca="false">IF(F392="","",IF(AND(F392&gt;=4,G392&gt;=4,H392&gt;=4,I392&gt;=4),"Proficient",IF(AND(F392&lt;=2,G392&lt;=2,H392&lt;=2,I392&lt;=2),"Emerging","Progressing")))</f>
        <v/>
      </c>
      <c r="K392" s="6" t="str">
        <f aca="false">IF(F392="","",IF(J392="Proficient","Yes","No"))</f>
        <v/>
      </c>
      <c r="L392" s="6" t="str">
        <f aca="false">IF(F392="","",INDEX({"Listening","Speaking","Reading","Writing"},MATCH(MIN(F392:I392),F392:I392,0)))</f>
        <v/>
      </c>
      <c r="M392" s="17"/>
      <c r="N392" s="6" t="str">
        <f aca="false">IF(OR(F392="",M392=""),"",ROUND(AVERAGE(F392:I392)-M392,1))</f>
        <v/>
      </c>
      <c r="O392" s="17"/>
      <c r="P392" s="17"/>
      <c r="Q392" s="17"/>
    </row>
    <row r="393" customFormat="false" ht="15" hidden="false" customHeight="tru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6" t="str">
        <f aca="false">IF(F393="","",IF(AND(F393&gt;=4,G393&gt;=4,H393&gt;=4,I393&gt;=4),"Proficient",IF(AND(F393&lt;=2,G393&lt;=2,H393&lt;=2,I393&lt;=2),"Emerging","Progressing")))</f>
        <v/>
      </c>
      <c r="K393" s="6" t="str">
        <f aca="false">IF(F393="","",IF(J393="Proficient","Yes","No"))</f>
        <v/>
      </c>
      <c r="L393" s="6" t="str">
        <f aca="false">IF(F393="","",INDEX({"Listening","Speaking","Reading","Writing"},MATCH(MIN(F393:I393),F393:I393,0)))</f>
        <v/>
      </c>
      <c r="M393" s="17"/>
      <c r="N393" s="6" t="str">
        <f aca="false">IF(OR(F393="",M393=""),"",ROUND(AVERAGE(F393:I393)-M393,1))</f>
        <v/>
      </c>
      <c r="O393" s="17"/>
      <c r="P393" s="17"/>
      <c r="Q393" s="17"/>
    </row>
    <row r="394" customFormat="false" ht="15" hidden="false" customHeight="tru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6" t="str">
        <f aca="false">IF(F394="","",IF(AND(F394&gt;=4,G394&gt;=4,H394&gt;=4,I394&gt;=4),"Proficient",IF(AND(F394&lt;=2,G394&lt;=2,H394&lt;=2,I394&lt;=2),"Emerging","Progressing")))</f>
        <v/>
      </c>
      <c r="K394" s="6" t="str">
        <f aca="false">IF(F394="","",IF(J394="Proficient","Yes","No"))</f>
        <v/>
      </c>
      <c r="L394" s="6" t="str">
        <f aca="false">IF(F394="","",INDEX({"Listening","Speaking","Reading","Writing"},MATCH(MIN(F394:I394),F394:I394,0)))</f>
        <v/>
      </c>
      <c r="M394" s="17"/>
      <c r="N394" s="6" t="str">
        <f aca="false">IF(OR(F394="",M394=""),"",ROUND(AVERAGE(F394:I394)-M394,1))</f>
        <v/>
      </c>
      <c r="O394" s="17"/>
      <c r="P394" s="17"/>
      <c r="Q394" s="17"/>
    </row>
    <row r="395" customFormat="false" ht="15" hidden="false" customHeight="tru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6" t="str">
        <f aca="false">IF(F395="","",IF(AND(F395&gt;=4,G395&gt;=4,H395&gt;=4,I395&gt;=4),"Proficient",IF(AND(F395&lt;=2,G395&lt;=2,H395&lt;=2,I395&lt;=2),"Emerging","Progressing")))</f>
        <v/>
      </c>
      <c r="K395" s="6" t="str">
        <f aca="false">IF(F395="","",IF(J395="Proficient","Yes","No"))</f>
        <v/>
      </c>
      <c r="L395" s="6" t="str">
        <f aca="false">IF(F395="","",INDEX({"Listening","Speaking","Reading","Writing"},MATCH(MIN(F395:I395),F395:I395,0)))</f>
        <v/>
      </c>
      <c r="M395" s="17"/>
      <c r="N395" s="6" t="str">
        <f aca="false">IF(OR(F395="",M395=""),"",ROUND(AVERAGE(F395:I395)-M395,1))</f>
        <v/>
      </c>
      <c r="O395" s="17"/>
      <c r="P395" s="17"/>
      <c r="Q395" s="17"/>
    </row>
    <row r="396" customFormat="false" ht="15" hidden="false" customHeight="tru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6" t="str">
        <f aca="false">IF(F396="","",IF(AND(F396&gt;=4,G396&gt;=4,H396&gt;=4,I396&gt;=4),"Proficient",IF(AND(F396&lt;=2,G396&lt;=2,H396&lt;=2,I396&lt;=2),"Emerging","Progressing")))</f>
        <v/>
      </c>
      <c r="K396" s="6" t="str">
        <f aca="false">IF(F396="","",IF(J396="Proficient","Yes","No"))</f>
        <v/>
      </c>
      <c r="L396" s="6" t="str">
        <f aca="false">IF(F396="","",INDEX({"Listening","Speaking","Reading","Writing"},MATCH(MIN(F396:I396),F396:I396,0)))</f>
        <v/>
      </c>
      <c r="M396" s="17"/>
      <c r="N396" s="6" t="str">
        <f aca="false">IF(OR(F396="",M396=""),"",ROUND(AVERAGE(F396:I396)-M396,1))</f>
        <v/>
      </c>
      <c r="O396" s="17"/>
      <c r="P396" s="17"/>
      <c r="Q396" s="17"/>
    </row>
    <row r="397" customFormat="false" ht="15" hidden="false" customHeight="tru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6" t="str">
        <f aca="false">IF(F397="","",IF(AND(F397&gt;=4,G397&gt;=4,H397&gt;=4,I397&gt;=4),"Proficient",IF(AND(F397&lt;=2,G397&lt;=2,H397&lt;=2,I397&lt;=2),"Emerging","Progressing")))</f>
        <v/>
      </c>
      <c r="K397" s="6" t="str">
        <f aca="false">IF(F397="","",IF(J397="Proficient","Yes","No"))</f>
        <v/>
      </c>
      <c r="L397" s="6" t="str">
        <f aca="false">IF(F397="","",INDEX({"Listening","Speaking","Reading","Writing"},MATCH(MIN(F397:I397),F397:I397,0)))</f>
        <v/>
      </c>
      <c r="M397" s="17"/>
      <c r="N397" s="6" t="str">
        <f aca="false">IF(OR(F397="",M397=""),"",ROUND(AVERAGE(F397:I397)-M397,1))</f>
        <v/>
      </c>
      <c r="O397" s="17"/>
      <c r="P397" s="17"/>
      <c r="Q397" s="17"/>
    </row>
    <row r="398" customFormat="false" ht="15" hidden="false" customHeight="tru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6" t="str">
        <f aca="false">IF(F398="","",IF(AND(F398&gt;=4,G398&gt;=4,H398&gt;=4,I398&gt;=4),"Proficient",IF(AND(F398&lt;=2,G398&lt;=2,H398&lt;=2,I398&lt;=2),"Emerging","Progressing")))</f>
        <v/>
      </c>
      <c r="K398" s="6" t="str">
        <f aca="false">IF(F398="","",IF(J398="Proficient","Yes","No"))</f>
        <v/>
      </c>
      <c r="L398" s="6" t="str">
        <f aca="false">IF(F398="","",INDEX({"Listening","Speaking","Reading","Writing"},MATCH(MIN(F398:I398),F398:I398,0)))</f>
        <v/>
      </c>
      <c r="M398" s="17"/>
      <c r="N398" s="6" t="str">
        <f aca="false">IF(OR(F398="",M398=""),"",ROUND(AVERAGE(F398:I398)-M398,1))</f>
        <v/>
      </c>
      <c r="O398" s="17"/>
      <c r="P398" s="17"/>
      <c r="Q398" s="17"/>
    </row>
    <row r="399" customFormat="false" ht="15" hidden="false" customHeight="tru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6" t="str">
        <f aca="false">IF(F399="","",IF(AND(F399&gt;=4,G399&gt;=4,H399&gt;=4,I399&gt;=4),"Proficient",IF(AND(F399&lt;=2,G399&lt;=2,H399&lt;=2,I399&lt;=2),"Emerging","Progressing")))</f>
        <v/>
      </c>
      <c r="K399" s="6" t="str">
        <f aca="false">IF(F399="","",IF(J399="Proficient","Yes","No"))</f>
        <v/>
      </c>
      <c r="L399" s="6" t="str">
        <f aca="false">IF(F399="","",INDEX({"Listening","Speaking","Reading","Writing"},MATCH(MIN(F399:I399),F399:I399,0)))</f>
        <v/>
      </c>
      <c r="M399" s="17"/>
      <c r="N399" s="6" t="str">
        <f aca="false">IF(OR(F399="",M399=""),"",ROUND(AVERAGE(F399:I399)-M399,1))</f>
        <v/>
      </c>
      <c r="O399" s="17"/>
      <c r="P399" s="17"/>
      <c r="Q399" s="17"/>
    </row>
    <row r="400" customFormat="false" ht="15" hidden="false" customHeight="tru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6" t="str">
        <f aca="false">IF(F400="","",IF(AND(F400&gt;=4,G400&gt;=4,H400&gt;=4,I400&gt;=4),"Proficient",IF(AND(F400&lt;=2,G400&lt;=2,H400&lt;=2,I400&lt;=2),"Emerging","Progressing")))</f>
        <v/>
      </c>
      <c r="K400" s="6" t="str">
        <f aca="false">IF(F400="","",IF(J400="Proficient","Yes","No"))</f>
        <v/>
      </c>
      <c r="L400" s="6" t="str">
        <f aca="false">IF(F400="","",INDEX({"Listening","Speaking","Reading","Writing"},MATCH(MIN(F400:I400),F400:I400,0)))</f>
        <v/>
      </c>
      <c r="M400" s="17"/>
      <c r="N400" s="6" t="str">
        <f aca="false">IF(OR(F400="",M400=""),"",ROUND(AVERAGE(F400:I400)-M400,1))</f>
        <v/>
      </c>
      <c r="O400" s="17"/>
      <c r="P400" s="17"/>
      <c r="Q400" s="17"/>
    </row>
    <row r="401" customFormat="false" ht="15" hidden="false" customHeight="tru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6" t="str">
        <f aca="false">IF(F401="","",IF(AND(F401&gt;=4,G401&gt;=4,H401&gt;=4,I401&gt;=4),"Proficient",IF(AND(F401&lt;=2,G401&lt;=2,H401&lt;=2,I401&lt;=2),"Emerging","Progressing")))</f>
        <v/>
      </c>
      <c r="K401" s="6" t="str">
        <f aca="false">IF(F401="","",IF(J401="Proficient","Yes","No"))</f>
        <v/>
      </c>
      <c r="L401" s="6" t="str">
        <f aca="false">IF(F401="","",INDEX({"Listening","Speaking","Reading","Writing"},MATCH(MIN(F401:I401),F401:I401,0)))</f>
        <v/>
      </c>
      <c r="M401" s="17"/>
      <c r="N401" s="6" t="str">
        <f aca="false">IF(OR(F401="",M401=""),"",ROUND(AVERAGE(F401:I401)-M401,1))</f>
        <v/>
      </c>
      <c r="O401" s="17"/>
      <c r="P401" s="17"/>
      <c r="Q401" s="17"/>
    </row>
    <row r="402" customFormat="false" ht="15" hidden="false" customHeight="tru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6" t="str">
        <f aca="false">IF(F402="","",IF(AND(F402&gt;=4,G402&gt;=4,H402&gt;=4,I402&gt;=4),"Proficient",IF(AND(F402&lt;=2,G402&lt;=2,H402&lt;=2,I402&lt;=2),"Emerging","Progressing")))</f>
        <v/>
      </c>
      <c r="K402" s="6" t="str">
        <f aca="false">IF(F402="","",IF(J402="Proficient","Yes","No"))</f>
        <v/>
      </c>
      <c r="L402" s="6" t="str">
        <f aca="false">IF(F402="","",INDEX({"Listening","Speaking","Reading","Writing"},MATCH(MIN(F402:I402),F402:I402,0)))</f>
        <v/>
      </c>
      <c r="M402" s="17"/>
      <c r="N402" s="6" t="str">
        <f aca="false">IF(OR(F402="",M402=""),"",ROUND(AVERAGE(F402:I402)-M402,1))</f>
        <v/>
      </c>
      <c r="O402" s="17"/>
      <c r="P402" s="17"/>
      <c r="Q402" s="17"/>
    </row>
    <row r="403" customFormat="false" ht="15" hidden="false" customHeight="tru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6" t="str">
        <f aca="false">IF(F403="","",IF(AND(F403&gt;=4,G403&gt;=4,H403&gt;=4,I403&gt;=4),"Proficient",IF(AND(F403&lt;=2,G403&lt;=2,H403&lt;=2,I403&lt;=2),"Emerging","Progressing")))</f>
        <v/>
      </c>
      <c r="K403" s="6" t="str">
        <f aca="false">IF(F403="","",IF(J403="Proficient","Yes","No"))</f>
        <v/>
      </c>
      <c r="L403" s="6" t="str">
        <f aca="false">IF(F403="","",INDEX({"Listening","Speaking","Reading","Writing"},MATCH(MIN(F403:I403),F403:I403,0)))</f>
        <v/>
      </c>
      <c r="M403" s="17"/>
      <c r="N403" s="6" t="str">
        <f aca="false">IF(OR(F403="",M403=""),"",ROUND(AVERAGE(F403:I403)-M403,1))</f>
        <v/>
      </c>
      <c r="O403" s="17"/>
      <c r="P403" s="17"/>
      <c r="Q403" s="17"/>
    </row>
    <row r="404" customFormat="false" ht="15" hidden="false" customHeight="tru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6" t="str">
        <f aca="false">IF(F404="","",IF(AND(F404&gt;=4,G404&gt;=4,H404&gt;=4,I404&gt;=4),"Proficient",IF(AND(F404&lt;=2,G404&lt;=2,H404&lt;=2,I404&lt;=2),"Emerging","Progressing")))</f>
        <v/>
      </c>
      <c r="K404" s="6" t="str">
        <f aca="false">IF(F404="","",IF(J404="Proficient","Yes","No"))</f>
        <v/>
      </c>
      <c r="L404" s="6" t="str">
        <f aca="false">IF(F404="","",INDEX({"Listening","Speaking","Reading","Writing"},MATCH(MIN(F404:I404),F404:I404,0)))</f>
        <v/>
      </c>
      <c r="M404" s="17"/>
      <c r="N404" s="6" t="str">
        <f aca="false">IF(OR(F404="",M404=""),"",ROUND(AVERAGE(F404:I404)-M404,1))</f>
        <v/>
      </c>
      <c r="O404" s="17"/>
      <c r="P404" s="17"/>
      <c r="Q404" s="17"/>
    </row>
    <row r="405" customFormat="false" ht="15" hidden="false" customHeight="tru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6" t="str">
        <f aca="false">IF(F405="","",IF(AND(F405&gt;=4,G405&gt;=4,H405&gt;=4,I405&gt;=4),"Proficient",IF(AND(F405&lt;=2,G405&lt;=2,H405&lt;=2,I405&lt;=2),"Emerging","Progressing")))</f>
        <v/>
      </c>
      <c r="K405" s="6" t="str">
        <f aca="false">IF(F405="","",IF(J405="Proficient","Yes","No"))</f>
        <v/>
      </c>
      <c r="L405" s="6" t="str">
        <f aca="false">IF(F405="","",INDEX({"Listening","Speaking","Reading","Writing"},MATCH(MIN(F405:I405),F405:I405,0)))</f>
        <v/>
      </c>
      <c r="M405" s="17"/>
      <c r="N405" s="6" t="str">
        <f aca="false">IF(OR(F405="",M405=""),"",ROUND(AVERAGE(F405:I405)-M405,1))</f>
        <v/>
      </c>
      <c r="O405" s="17"/>
      <c r="P405" s="17"/>
      <c r="Q405" s="17"/>
    </row>
    <row r="406" customFormat="false" ht="15" hidden="false" customHeight="tru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6" t="str">
        <f aca="false">IF(F406="","",IF(AND(F406&gt;=4,G406&gt;=4,H406&gt;=4,I406&gt;=4),"Proficient",IF(AND(F406&lt;=2,G406&lt;=2,H406&lt;=2,I406&lt;=2),"Emerging","Progressing")))</f>
        <v/>
      </c>
      <c r="K406" s="6" t="str">
        <f aca="false">IF(F406="","",IF(J406="Proficient","Yes","No"))</f>
        <v/>
      </c>
      <c r="L406" s="6" t="str">
        <f aca="false">IF(F406="","",INDEX({"Listening","Speaking","Reading","Writing"},MATCH(MIN(F406:I406),F406:I406,0)))</f>
        <v/>
      </c>
      <c r="M406" s="17"/>
      <c r="N406" s="6" t="str">
        <f aca="false">IF(OR(F406="",M406=""),"",ROUND(AVERAGE(F406:I406)-M406,1))</f>
        <v/>
      </c>
      <c r="O406" s="17"/>
      <c r="P406" s="17"/>
      <c r="Q406" s="17"/>
    </row>
    <row r="407" customFormat="false" ht="15" hidden="false" customHeight="tru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6" t="str">
        <f aca="false">IF(F407="","",IF(AND(F407&gt;=4,G407&gt;=4,H407&gt;=4,I407&gt;=4),"Proficient",IF(AND(F407&lt;=2,G407&lt;=2,H407&lt;=2,I407&lt;=2),"Emerging","Progressing")))</f>
        <v/>
      </c>
      <c r="K407" s="6" t="str">
        <f aca="false">IF(F407="","",IF(J407="Proficient","Yes","No"))</f>
        <v/>
      </c>
      <c r="L407" s="6" t="str">
        <f aca="false">IF(F407="","",INDEX({"Listening","Speaking","Reading","Writing"},MATCH(MIN(F407:I407),F407:I407,0)))</f>
        <v/>
      </c>
      <c r="M407" s="17"/>
      <c r="N407" s="6" t="str">
        <f aca="false">IF(OR(F407="",M407=""),"",ROUND(AVERAGE(F407:I407)-M407,1))</f>
        <v/>
      </c>
      <c r="O407" s="17"/>
      <c r="P407" s="17"/>
      <c r="Q407" s="17"/>
    </row>
    <row r="408" customFormat="false" ht="15" hidden="false" customHeight="tru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6" t="str">
        <f aca="false">IF(F408="","",IF(AND(F408&gt;=4,G408&gt;=4,H408&gt;=4,I408&gt;=4),"Proficient",IF(AND(F408&lt;=2,G408&lt;=2,H408&lt;=2,I408&lt;=2),"Emerging","Progressing")))</f>
        <v/>
      </c>
      <c r="K408" s="6" t="str">
        <f aca="false">IF(F408="","",IF(J408="Proficient","Yes","No"))</f>
        <v/>
      </c>
      <c r="L408" s="6" t="str">
        <f aca="false">IF(F408="","",INDEX({"Listening","Speaking","Reading","Writing"},MATCH(MIN(F408:I408),F408:I408,0)))</f>
        <v/>
      </c>
      <c r="M408" s="17"/>
      <c r="N408" s="6" t="str">
        <f aca="false">IF(OR(F408="",M408=""),"",ROUND(AVERAGE(F408:I408)-M408,1))</f>
        <v/>
      </c>
      <c r="O408" s="17"/>
      <c r="P408" s="17"/>
      <c r="Q408" s="17"/>
    </row>
    <row r="409" customFormat="false" ht="15" hidden="false" customHeight="tru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6" t="str">
        <f aca="false">IF(F409="","",IF(AND(F409&gt;=4,G409&gt;=4,H409&gt;=4,I409&gt;=4),"Proficient",IF(AND(F409&lt;=2,G409&lt;=2,H409&lt;=2,I409&lt;=2),"Emerging","Progressing")))</f>
        <v/>
      </c>
      <c r="K409" s="6" t="str">
        <f aca="false">IF(F409="","",IF(J409="Proficient","Yes","No"))</f>
        <v/>
      </c>
      <c r="L409" s="6" t="str">
        <f aca="false">IF(F409="","",INDEX({"Listening","Speaking","Reading","Writing"},MATCH(MIN(F409:I409),F409:I409,0)))</f>
        <v/>
      </c>
      <c r="M409" s="17"/>
      <c r="N409" s="6" t="str">
        <f aca="false">IF(OR(F409="",M409=""),"",ROUND(AVERAGE(F409:I409)-M409,1))</f>
        <v/>
      </c>
      <c r="O409" s="17"/>
      <c r="P409" s="17"/>
      <c r="Q409" s="17"/>
    </row>
    <row r="410" customFormat="false" ht="15" hidden="false" customHeight="tru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6" t="str">
        <f aca="false">IF(F410="","",IF(AND(F410&gt;=4,G410&gt;=4,H410&gt;=4,I410&gt;=4),"Proficient",IF(AND(F410&lt;=2,G410&lt;=2,H410&lt;=2,I410&lt;=2),"Emerging","Progressing")))</f>
        <v/>
      </c>
      <c r="K410" s="6" t="str">
        <f aca="false">IF(F410="","",IF(J410="Proficient","Yes","No"))</f>
        <v/>
      </c>
      <c r="L410" s="6" t="str">
        <f aca="false">IF(F410="","",INDEX({"Listening","Speaking","Reading","Writing"},MATCH(MIN(F410:I410),F410:I410,0)))</f>
        <v/>
      </c>
      <c r="M410" s="17"/>
      <c r="N410" s="6" t="str">
        <f aca="false">IF(OR(F410="",M410=""),"",ROUND(AVERAGE(F410:I410)-M410,1))</f>
        <v/>
      </c>
      <c r="O410" s="17"/>
      <c r="P410" s="17"/>
      <c r="Q410" s="17"/>
    </row>
    <row r="411" customFormat="false" ht="15" hidden="false" customHeight="tru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6" t="str">
        <f aca="false">IF(F411="","",IF(AND(F411&gt;=4,G411&gt;=4,H411&gt;=4,I411&gt;=4),"Proficient",IF(AND(F411&lt;=2,G411&lt;=2,H411&lt;=2,I411&lt;=2),"Emerging","Progressing")))</f>
        <v/>
      </c>
      <c r="K411" s="6" t="str">
        <f aca="false">IF(F411="","",IF(J411="Proficient","Yes","No"))</f>
        <v/>
      </c>
      <c r="L411" s="6" t="str">
        <f aca="false">IF(F411="","",INDEX({"Listening","Speaking","Reading","Writing"},MATCH(MIN(F411:I411),F411:I411,0)))</f>
        <v/>
      </c>
      <c r="M411" s="17"/>
      <c r="N411" s="6" t="str">
        <f aca="false">IF(OR(F411="",M411=""),"",ROUND(AVERAGE(F411:I411)-M411,1))</f>
        <v/>
      </c>
      <c r="O411" s="17"/>
      <c r="P411" s="17"/>
      <c r="Q411" s="17"/>
    </row>
    <row r="412" customFormat="false" ht="15" hidden="false" customHeight="tru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6" t="str">
        <f aca="false">IF(F412="","",IF(AND(F412&gt;=4,G412&gt;=4,H412&gt;=4,I412&gt;=4),"Proficient",IF(AND(F412&lt;=2,G412&lt;=2,H412&lt;=2,I412&lt;=2),"Emerging","Progressing")))</f>
        <v/>
      </c>
      <c r="K412" s="6" t="str">
        <f aca="false">IF(F412="","",IF(J412="Proficient","Yes","No"))</f>
        <v/>
      </c>
      <c r="L412" s="6" t="str">
        <f aca="false">IF(F412="","",INDEX({"Listening","Speaking","Reading","Writing"},MATCH(MIN(F412:I412),F412:I412,0)))</f>
        <v/>
      </c>
      <c r="M412" s="17"/>
      <c r="N412" s="6" t="str">
        <f aca="false">IF(OR(F412="",M412=""),"",ROUND(AVERAGE(F412:I412)-M412,1))</f>
        <v/>
      </c>
      <c r="O412" s="17"/>
      <c r="P412" s="17"/>
      <c r="Q412" s="17"/>
    </row>
    <row r="413" customFormat="false" ht="15" hidden="false" customHeight="tru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6" t="str">
        <f aca="false">IF(F413="","",IF(AND(F413&gt;=4,G413&gt;=4,H413&gt;=4,I413&gt;=4),"Proficient",IF(AND(F413&lt;=2,G413&lt;=2,H413&lt;=2,I413&lt;=2),"Emerging","Progressing")))</f>
        <v/>
      </c>
      <c r="K413" s="6" t="str">
        <f aca="false">IF(F413="","",IF(J413="Proficient","Yes","No"))</f>
        <v/>
      </c>
      <c r="L413" s="6" t="str">
        <f aca="false">IF(F413="","",INDEX({"Listening","Speaking","Reading","Writing"},MATCH(MIN(F413:I413),F413:I413,0)))</f>
        <v/>
      </c>
      <c r="M413" s="17"/>
      <c r="N413" s="6" t="str">
        <f aca="false">IF(OR(F413="",M413=""),"",ROUND(AVERAGE(F413:I413)-M413,1))</f>
        <v/>
      </c>
      <c r="O413" s="17"/>
      <c r="P413" s="17"/>
      <c r="Q413" s="17"/>
    </row>
    <row r="414" customFormat="false" ht="15" hidden="false" customHeight="tru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6" t="str">
        <f aca="false">IF(F414="","",IF(AND(F414&gt;=4,G414&gt;=4,H414&gt;=4,I414&gt;=4),"Proficient",IF(AND(F414&lt;=2,G414&lt;=2,H414&lt;=2,I414&lt;=2),"Emerging","Progressing")))</f>
        <v/>
      </c>
      <c r="K414" s="6" t="str">
        <f aca="false">IF(F414="","",IF(J414="Proficient","Yes","No"))</f>
        <v/>
      </c>
      <c r="L414" s="6" t="str">
        <f aca="false">IF(F414="","",INDEX({"Listening","Speaking","Reading","Writing"},MATCH(MIN(F414:I414),F414:I414,0)))</f>
        <v/>
      </c>
      <c r="M414" s="17"/>
      <c r="N414" s="6" t="str">
        <f aca="false">IF(OR(F414="",M414=""),"",ROUND(AVERAGE(F414:I414)-M414,1))</f>
        <v/>
      </c>
      <c r="O414" s="17"/>
      <c r="P414" s="17"/>
      <c r="Q414" s="17"/>
    </row>
    <row r="415" customFormat="false" ht="15" hidden="false" customHeight="tru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6" t="str">
        <f aca="false">IF(F415="","",IF(AND(F415&gt;=4,G415&gt;=4,H415&gt;=4,I415&gt;=4),"Proficient",IF(AND(F415&lt;=2,G415&lt;=2,H415&lt;=2,I415&lt;=2),"Emerging","Progressing")))</f>
        <v/>
      </c>
      <c r="K415" s="6" t="str">
        <f aca="false">IF(F415="","",IF(J415="Proficient","Yes","No"))</f>
        <v/>
      </c>
      <c r="L415" s="6" t="str">
        <f aca="false">IF(F415="","",INDEX({"Listening","Speaking","Reading","Writing"},MATCH(MIN(F415:I415),F415:I415,0)))</f>
        <v/>
      </c>
      <c r="M415" s="17"/>
      <c r="N415" s="6" t="str">
        <f aca="false">IF(OR(F415="",M415=""),"",ROUND(AVERAGE(F415:I415)-M415,1))</f>
        <v/>
      </c>
      <c r="O415" s="17"/>
      <c r="P415" s="17"/>
      <c r="Q415" s="17"/>
    </row>
    <row r="416" customFormat="false" ht="15" hidden="false" customHeight="tru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6" t="str">
        <f aca="false">IF(F416="","",IF(AND(F416&gt;=4,G416&gt;=4,H416&gt;=4,I416&gt;=4),"Proficient",IF(AND(F416&lt;=2,G416&lt;=2,H416&lt;=2,I416&lt;=2),"Emerging","Progressing")))</f>
        <v/>
      </c>
      <c r="K416" s="6" t="str">
        <f aca="false">IF(F416="","",IF(J416="Proficient","Yes","No"))</f>
        <v/>
      </c>
      <c r="L416" s="6" t="str">
        <f aca="false">IF(F416="","",INDEX({"Listening","Speaking","Reading","Writing"},MATCH(MIN(F416:I416),F416:I416,0)))</f>
        <v/>
      </c>
      <c r="M416" s="17"/>
      <c r="N416" s="6" t="str">
        <f aca="false">IF(OR(F416="",M416=""),"",ROUND(AVERAGE(F416:I416)-M416,1))</f>
        <v/>
      </c>
      <c r="O416" s="17"/>
      <c r="P416" s="17"/>
      <c r="Q416" s="17"/>
    </row>
    <row r="417" customFormat="false" ht="15" hidden="false" customHeight="tru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6" t="str">
        <f aca="false">IF(F417="","",IF(AND(F417&gt;=4,G417&gt;=4,H417&gt;=4,I417&gt;=4),"Proficient",IF(AND(F417&lt;=2,G417&lt;=2,H417&lt;=2,I417&lt;=2),"Emerging","Progressing")))</f>
        <v/>
      </c>
      <c r="K417" s="6" t="str">
        <f aca="false">IF(F417="","",IF(J417="Proficient","Yes","No"))</f>
        <v/>
      </c>
      <c r="L417" s="6" t="str">
        <f aca="false">IF(F417="","",INDEX({"Listening","Speaking","Reading","Writing"},MATCH(MIN(F417:I417),F417:I417,0)))</f>
        <v/>
      </c>
      <c r="M417" s="17"/>
      <c r="N417" s="6" t="str">
        <f aca="false">IF(OR(F417="",M417=""),"",ROUND(AVERAGE(F417:I417)-M417,1))</f>
        <v/>
      </c>
      <c r="O417" s="17"/>
      <c r="P417" s="17"/>
      <c r="Q417" s="17"/>
    </row>
    <row r="418" customFormat="false" ht="15" hidden="false" customHeight="tru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6" t="str">
        <f aca="false">IF(F418="","",IF(AND(F418&gt;=4,G418&gt;=4,H418&gt;=4,I418&gt;=4),"Proficient",IF(AND(F418&lt;=2,G418&lt;=2,H418&lt;=2,I418&lt;=2),"Emerging","Progressing")))</f>
        <v/>
      </c>
      <c r="K418" s="6" t="str">
        <f aca="false">IF(F418="","",IF(J418="Proficient","Yes","No"))</f>
        <v/>
      </c>
      <c r="L418" s="6" t="str">
        <f aca="false">IF(F418="","",INDEX({"Listening","Speaking","Reading","Writing"},MATCH(MIN(F418:I418),F418:I418,0)))</f>
        <v/>
      </c>
      <c r="M418" s="17"/>
      <c r="N418" s="6" t="str">
        <f aca="false">IF(OR(F418="",M418=""),"",ROUND(AVERAGE(F418:I418)-M418,1))</f>
        <v/>
      </c>
      <c r="O418" s="17"/>
      <c r="P418" s="17"/>
      <c r="Q418" s="17"/>
    </row>
    <row r="419" customFormat="false" ht="15" hidden="false" customHeight="tru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6" t="str">
        <f aca="false">IF(F419="","",IF(AND(F419&gt;=4,G419&gt;=4,H419&gt;=4,I419&gt;=4),"Proficient",IF(AND(F419&lt;=2,G419&lt;=2,H419&lt;=2,I419&lt;=2),"Emerging","Progressing")))</f>
        <v/>
      </c>
      <c r="K419" s="6" t="str">
        <f aca="false">IF(F419="","",IF(J419="Proficient","Yes","No"))</f>
        <v/>
      </c>
      <c r="L419" s="6" t="str">
        <f aca="false">IF(F419="","",INDEX({"Listening","Speaking","Reading","Writing"},MATCH(MIN(F419:I419),F419:I419,0)))</f>
        <v/>
      </c>
      <c r="M419" s="17"/>
      <c r="N419" s="6" t="str">
        <f aca="false">IF(OR(F419="",M419=""),"",ROUND(AVERAGE(F419:I419)-M419,1))</f>
        <v/>
      </c>
      <c r="O419" s="17"/>
      <c r="P419" s="17"/>
      <c r="Q419" s="17"/>
    </row>
    <row r="420" customFormat="false" ht="15" hidden="false" customHeight="tru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6" t="str">
        <f aca="false">IF(F420="","",IF(AND(F420&gt;=4,G420&gt;=4,H420&gt;=4,I420&gt;=4),"Proficient",IF(AND(F420&lt;=2,G420&lt;=2,H420&lt;=2,I420&lt;=2),"Emerging","Progressing")))</f>
        <v/>
      </c>
      <c r="K420" s="6" t="str">
        <f aca="false">IF(F420="","",IF(J420="Proficient","Yes","No"))</f>
        <v/>
      </c>
      <c r="L420" s="6" t="str">
        <f aca="false">IF(F420="","",INDEX({"Listening","Speaking","Reading","Writing"},MATCH(MIN(F420:I420),F420:I420,0)))</f>
        <v/>
      </c>
      <c r="M420" s="17"/>
      <c r="N420" s="6" t="str">
        <f aca="false">IF(OR(F420="",M420=""),"",ROUND(AVERAGE(F420:I420)-M420,1))</f>
        <v/>
      </c>
      <c r="O420" s="17"/>
      <c r="P420" s="17"/>
      <c r="Q420" s="17"/>
    </row>
    <row r="421" customFormat="false" ht="15" hidden="false" customHeight="tru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6" t="str">
        <f aca="false">IF(F421="","",IF(AND(F421&gt;=4,G421&gt;=4,H421&gt;=4,I421&gt;=4),"Proficient",IF(AND(F421&lt;=2,G421&lt;=2,H421&lt;=2,I421&lt;=2),"Emerging","Progressing")))</f>
        <v/>
      </c>
      <c r="K421" s="6" t="str">
        <f aca="false">IF(F421="","",IF(J421="Proficient","Yes","No"))</f>
        <v/>
      </c>
      <c r="L421" s="6" t="str">
        <f aca="false">IF(F421="","",INDEX({"Listening","Speaking","Reading","Writing"},MATCH(MIN(F421:I421),F421:I421,0)))</f>
        <v/>
      </c>
      <c r="M421" s="17"/>
      <c r="N421" s="6" t="str">
        <f aca="false">IF(OR(F421="",M421=""),"",ROUND(AVERAGE(F421:I421)-M421,1))</f>
        <v/>
      </c>
      <c r="O421" s="17"/>
      <c r="P421" s="17"/>
      <c r="Q421" s="17"/>
    </row>
    <row r="422" customFormat="false" ht="15" hidden="false" customHeight="tru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6" t="str">
        <f aca="false">IF(F422="","",IF(AND(F422&gt;=4,G422&gt;=4,H422&gt;=4,I422&gt;=4),"Proficient",IF(AND(F422&lt;=2,G422&lt;=2,H422&lt;=2,I422&lt;=2),"Emerging","Progressing")))</f>
        <v/>
      </c>
      <c r="K422" s="6" t="str">
        <f aca="false">IF(F422="","",IF(J422="Proficient","Yes","No"))</f>
        <v/>
      </c>
      <c r="L422" s="6" t="str">
        <f aca="false">IF(F422="","",INDEX({"Listening","Speaking","Reading","Writing"},MATCH(MIN(F422:I422),F422:I422,0)))</f>
        <v/>
      </c>
      <c r="M422" s="17"/>
      <c r="N422" s="6" t="str">
        <f aca="false">IF(OR(F422="",M422=""),"",ROUND(AVERAGE(F422:I422)-M422,1))</f>
        <v/>
      </c>
      <c r="O422" s="17"/>
      <c r="P422" s="17"/>
      <c r="Q422" s="17"/>
    </row>
    <row r="423" customFormat="false" ht="15" hidden="false" customHeight="tru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6" t="str">
        <f aca="false">IF(F423="","",IF(AND(F423&gt;=4,G423&gt;=4,H423&gt;=4,I423&gt;=4),"Proficient",IF(AND(F423&lt;=2,G423&lt;=2,H423&lt;=2,I423&lt;=2),"Emerging","Progressing")))</f>
        <v/>
      </c>
      <c r="K423" s="6" t="str">
        <f aca="false">IF(F423="","",IF(J423="Proficient","Yes","No"))</f>
        <v/>
      </c>
      <c r="L423" s="6" t="str">
        <f aca="false">IF(F423="","",INDEX({"Listening","Speaking","Reading","Writing"},MATCH(MIN(F423:I423),F423:I423,0)))</f>
        <v/>
      </c>
      <c r="M423" s="17"/>
      <c r="N423" s="6" t="str">
        <f aca="false">IF(OR(F423="",M423=""),"",ROUND(AVERAGE(F423:I423)-M423,1))</f>
        <v/>
      </c>
      <c r="O423" s="17"/>
      <c r="P423" s="17"/>
      <c r="Q423" s="17"/>
    </row>
    <row r="424" customFormat="false" ht="15" hidden="false" customHeight="tru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6" t="str">
        <f aca="false">IF(F424="","",IF(AND(F424&gt;=4,G424&gt;=4,H424&gt;=4,I424&gt;=4),"Proficient",IF(AND(F424&lt;=2,G424&lt;=2,H424&lt;=2,I424&lt;=2),"Emerging","Progressing")))</f>
        <v/>
      </c>
      <c r="K424" s="6" t="str">
        <f aca="false">IF(F424="","",IF(J424="Proficient","Yes","No"))</f>
        <v/>
      </c>
      <c r="L424" s="6" t="str">
        <f aca="false">IF(F424="","",INDEX({"Listening","Speaking","Reading","Writing"},MATCH(MIN(F424:I424),F424:I424,0)))</f>
        <v/>
      </c>
      <c r="M424" s="17"/>
      <c r="N424" s="6" t="str">
        <f aca="false">IF(OR(F424="",M424=""),"",ROUND(AVERAGE(F424:I424)-M424,1))</f>
        <v/>
      </c>
      <c r="O424" s="17"/>
      <c r="P424" s="17"/>
      <c r="Q424" s="17"/>
    </row>
    <row r="425" customFormat="false" ht="15" hidden="false" customHeight="tru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6" t="str">
        <f aca="false">IF(F425="","",IF(AND(F425&gt;=4,G425&gt;=4,H425&gt;=4,I425&gt;=4),"Proficient",IF(AND(F425&lt;=2,G425&lt;=2,H425&lt;=2,I425&lt;=2),"Emerging","Progressing")))</f>
        <v/>
      </c>
      <c r="K425" s="6" t="str">
        <f aca="false">IF(F425="","",IF(J425="Proficient","Yes","No"))</f>
        <v/>
      </c>
      <c r="L425" s="6" t="str">
        <f aca="false">IF(F425="","",INDEX({"Listening","Speaking","Reading","Writing"},MATCH(MIN(F425:I425),F425:I425,0)))</f>
        <v/>
      </c>
      <c r="M425" s="17"/>
      <c r="N425" s="6" t="str">
        <f aca="false">IF(OR(F425="",M425=""),"",ROUND(AVERAGE(F425:I425)-M425,1))</f>
        <v/>
      </c>
      <c r="O425" s="17"/>
      <c r="P425" s="17"/>
      <c r="Q425" s="17"/>
    </row>
    <row r="426" customFormat="false" ht="15" hidden="false" customHeight="tru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6" t="str">
        <f aca="false">IF(F426="","",IF(AND(F426&gt;=4,G426&gt;=4,H426&gt;=4,I426&gt;=4),"Proficient",IF(AND(F426&lt;=2,G426&lt;=2,H426&lt;=2,I426&lt;=2),"Emerging","Progressing")))</f>
        <v/>
      </c>
      <c r="K426" s="6" t="str">
        <f aca="false">IF(F426="","",IF(J426="Proficient","Yes","No"))</f>
        <v/>
      </c>
      <c r="L426" s="6" t="str">
        <f aca="false">IF(F426="","",INDEX({"Listening","Speaking","Reading","Writing"},MATCH(MIN(F426:I426),F426:I426,0)))</f>
        <v/>
      </c>
      <c r="M426" s="17"/>
      <c r="N426" s="6" t="str">
        <f aca="false">IF(OR(F426="",M426=""),"",ROUND(AVERAGE(F426:I426)-M426,1))</f>
        <v/>
      </c>
      <c r="O426" s="17"/>
      <c r="P426" s="17"/>
      <c r="Q426" s="17"/>
    </row>
    <row r="427" customFormat="false" ht="15" hidden="false" customHeight="tru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6" t="str">
        <f aca="false">IF(F427="","",IF(AND(F427&gt;=4,G427&gt;=4,H427&gt;=4,I427&gt;=4),"Proficient",IF(AND(F427&lt;=2,G427&lt;=2,H427&lt;=2,I427&lt;=2),"Emerging","Progressing")))</f>
        <v/>
      </c>
      <c r="K427" s="6" t="str">
        <f aca="false">IF(F427="","",IF(J427="Proficient","Yes","No"))</f>
        <v/>
      </c>
      <c r="L427" s="6" t="str">
        <f aca="false">IF(F427="","",INDEX({"Listening","Speaking","Reading","Writing"},MATCH(MIN(F427:I427),F427:I427,0)))</f>
        <v/>
      </c>
      <c r="M427" s="17"/>
      <c r="N427" s="6" t="str">
        <f aca="false">IF(OR(F427="",M427=""),"",ROUND(AVERAGE(F427:I427)-M427,1))</f>
        <v/>
      </c>
      <c r="O427" s="17"/>
      <c r="P427" s="17"/>
      <c r="Q427" s="17"/>
    </row>
    <row r="428" customFormat="false" ht="15" hidden="false" customHeight="tru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6" t="str">
        <f aca="false">IF(F428="","",IF(AND(F428&gt;=4,G428&gt;=4,H428&gt;=4,I428&gt;=4),"Proficient",IF(AND(F428&lt;=2,G428&lt;=2,H428&lt;=2,I428&lt;=2),"Emerging","Progressing")))</f>
        <v/>
      </c>
      <c r="K428" s="6" t="str">
        <f aca="false">IF(F428="","",IF(J428="Proficient","Yes","No"))</f>
        <v/>
      </c>
      <c r="L428" s="6" t="str">
        <f aca="false">IF(F428="","",INDEX({"Listening","Speaking","Reading","Writing"},MATCH(MIN(F428:I428),F428:I428,0)))</f>
        <v/>
      </c>
      <c r="M428" s="17"/>
      <c r="N428" s="6" t="str">
        <f aca="false">IF(OR(F428="",M428=""),"",ROUND(AVERAGE(F428:I428)-M428,1))</f>
        <v/>
      </c>
      <c r="O428" s="17"/>
      <c r="P428" s="17"/>
      <c r="Q428" s="17"/>
    </row>
    <row r="429" customFormat="false" ht="15" hidden="false" customHeight="tru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6" t="str">
        <f aca="false">IF(F429="","",IF(AND(F429&gt;=4,G429&gt;=4,H429&gt;=4,I429&gt;=4),"Proficient",IF(AND(F429&lt;=2,G429&lt;=2,H429&lt;=2,I429&lt;=2),"Emerging","Progressing")))</f>
        <v/>
      </c>
      <c r="K429" s="6" t="str">
        <f aca="false">IF(F429="","",IF(J429="Proficient","Yes","No"))</f>
        <v/>
      </c>
      <c r="L429" s="6" t="str">
        <f aca="false">IF(F429="","",INDEX({"Listening","Speaking","Reading","Writing"},MATCH(MIN(F429:I429),F429:I429,0)))</f>
        <v/>
      </c>
      <c r="M429" s="17"/>
      <c r="N429" s="6" t="str">
        <f aca="false">IF(OR(F429="",M429=""),"",ROUND(AVERAGE(F429:I429)-M429,1))</f>
        <v/>
      </c>
      <c r="O429" s="17"/>
      <c r="P429" s="17"/>
      <c r="Q429" s="17"/>
    </row>
    <row r="430" customFormat="false" ht="15" hidden="false" customHeight="tru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6" t="str">
        <f aca="false">IF(F430="","",IF(AND(F430&gt;=4,G430&gt;=4,H430&gt;=4,I430&gt;=4),"Proficient",IF(AND(F430&lt;=2,G430&lt;=2,H430&lt;=2,I430&lt;=2),"Emerging","Progressing")))</f>
        <v/>
      </c>
      <c r="K430" s="6" t="str">
        <f aca="false">IF(F430="","",IF(J430="Proficient","Yes","No"))</f>
        <v/>
      </c>
      <c r="L430" s="6" t="str">
        <f aca="false">IF(F430="","",INDEX({"Listening","Speaking","Reading","Writing"},MATCH(MIN(F430:I430),F430:I430,0)))</f>
        <v/>
      </c>
      <c r="M430" s="17"/>
      <c r="N430" s="6" t="str">
        <f aca="false">IF(OR(F430="",M430=""),"",ROUND(AVERAGE(F430:I430)-M430,1))</f>
        <v/>
      </c>
      <c r="O430" s="17"/>
      <c r="P430" s="17"/>
      <c r="Q430" s="17"/>
    </row>
    <row r="431" customFormat="false" ht="15" hidden="false" customHeight="tru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6" t="str">
        <f aca="false">IF(F431="","",IF(AND(F431&gt;=4,G431&gt;=4,H431&gt;=4,I431&gt;=4),"Proficient",IF(AND(F431&lt;=2,G431&lt;=2,H431&lt;=2,I431&lt;=2),"Emerging","Progressing")))</f>
        <v/>
      </c>
      <c r="K431" s="6" t="str">
        <f aca="false">IF(F431="","",IF(J431="Proficient","Yes","No"))</f>
        <v/>
      </c>
      <c r="L431" s="6" t="str">
        <f aca="false">IF(F431="","",INDEX({"Listening","Speaking","Reading","Writing"},MATCH(MIN(F431:I431),F431:I431,0)))</f>
        <v/>
      </c>
      <c r="M431" s="17"/>
      <c r="N431" s="6" t="str">
        <f aca="false">IF(OR(F431="",M431=""),"",ROUND(AVERAGE(F431:I431)-M431,1))</f>
        <v/>
      </c>
      <c r="O431" s="17"/>
      <c r="P431" s="17"/>
      <c r="Q431" s="17"/>
    </row>
    <row r="432" customFormat="false" ht="15" hidden="false" customHeight="tru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6" t="str">
        <f aca="false">IF(F432="","",IF(AND(F432&gt;=4,G432&gt;=4,H432&gt;=4,I432&gt;=4),"Proficient",IF(AND(F432&lt;=2,G432&lt;=2,H432&lt;=2,I432&lt;=2),"Emerging","Progressing")))</f>
        <v/>
      </c>
      <c r="K432" s="6" t="str">
        <f aca="false">IF(F432="","",IF(J432="Proficient","Yes","No"))</f>
        <v/>
      </c>
      <c r="L432" s="6" t="str">
        <f aca="false">IF(F432="","",INDEX({"Listening","Speaking","Reading","Writing"},MATCH(MIN(F432:I432),F432:I432,0)))</f>
        <v/>
      </c>
      <c r="M432" s="17"/>
      <c r="N432" s="6" t="str">
        <f aca="false">IF(OR(F432="",M432=""),"",ROUND(AVERAGE(F432:I432)-M432,1))</f>
        <v/>
      </c>
      <c r="O432" s="17"/>
      <c r="P432" s="17"/>
      <c r="Q432" s="17"/>
    </row>
    <row r="433" customFormat="false" ht="15" hidden="false" customHeight="tru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6" t="str">
        <f aca="false">IF(F433="","",IF(AND(F433&gt;=4,G433&gt;=4,H433&gt;=4,I433&gt;=4),"Proficient",IF(AND(F433&lt;=2,G433&lt;=2,H433&lt;=2,I433&lt;=2),"Emerging","Progressing")))</f>
        <v/>
      </c>
      <c r="K433" s="6" t="str">
        <f aca="false">IF(F433="","",IF(J433="Proficient","Yes","No"))</f>
        <v/>
      </c>
      <c r="L433" s="6" t="str">
        <f aca="false">IF(F433="","",INDEX({"Listening","Speaking","Reading","Writing"},MATCH(MIN(F433:I433),F433:I433,0)))</f>
        <v/>
      </c>
      <c r="M433" s="17"/>
      <c r="N433" s="6" t="str">
        <f aca="false">IF(OR(F433="",M433=""),"",ROUND(AVERAGE(F433:I433)-M433,1))</f>
        <v/>
      </c>
      <c r="O433" s="17"/>
      <c r="P433" s="17"/>
      <c r="Q433" s="17"/>
    </row>
    <row r="434" customFormat="false" ht="15" hidden="false" customHeight="tru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6" t="str">
        <f aca="false">IF(F434="","",IF(AND(F434&gt;=4,G434&gt;=4,H434&gt;=4,I434&gt;=4),"Proficient",IF(AND(F434&lt;=2,G434&lt;=2,H434&lt;=2,I434&lt;=2),"Emerging","Progressing")))</f>
        <v/>
      </c>
      <c r="K434" s="6" t="str">
        <f aca="false">IF(F434="","",IF(J434="Proficient","Yes","No"))</f>
        <v/>
      </c>
      <c r="L434" s="6" t="str">
        <f aca="false">IF(F434="","",INDEX({"Listening","Speaking","Reading","Writing"},MATCH(MIN(F434:I434),F434:I434,0)))</f>
        <v/>
      </c>
      <c r="M434" s="17"/>
      <c r="N434" s="6" t="str">
        <f aca="false">IF(OR(F434="",M434=""),"",ROUND(AVERAGE(F434:I434)-M434,1))</f>
        <v/>
      </c>
      <c r="O434" s="17"/>
      <c r="P434" s="17"/>
      <c r="Q434" s="17"/>
    </row>
    <row r="435" customFormat="false" ht="15" hidden="false" customHeight="tru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6" t="str">
        <f aca="false">IF(F435="","",IF(AND(F435&gt;=4,G435&gt;=4,H435&gt;=4,I435&gt;=4),"Proficient",IF(AND(F435&lt;=2,G435&lt;=2,H435&lt;=2,I435&lt;=2),"Emerging","Progressing")))</f>
        <v/>
      </c>
      <c r="K435" s="6" t="str">
        <f aca="false">IF(F435="","",IF(J435="Proficient","Yes","No"))</f>
        <v/>
      </c>
      <c r="L435" s="6" t="str">
        <f aca="false">IF(F435="","",INDEX({"Listening","Speaking","Reading","Writing"},MATCH(MIN(F435:I435),F435:I435,0)))</f>
        <v/>
      </c>
      <c r="M435" s="17"/>
      <c r="N435" s="6" t="str">
        <f aca="false">IF(OR(F435="",M435=""),"",ROUND(AVERAGE(F435:I435)-M435,1))</f>
        <v/>
      </c>
      <c r="O435" s="17"/>
      <c r="P435" s="17"/>
      <c r="Q435" s="17"/>
    </row>
    <row r="436" customFormat="false" ht="15" hidden="false" customHeight="tru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6" t="str">
        <f aca="false">IF(F436="","",IF(AND(F436&gt;=4,G436&gt;=4,H436&gt;=4,I436&gt;=4),"Proficient",IF(AND(F436&lt;=2,G436&lt;=2,H436&lt;=2,I436&lt;=2),"Emerging","Progressing")))</f>
        <v/>
      </c>
      <c r="K436" s="6" t="str">
        <f aca="false">IF(F436="","",IF(J436="Proficient","Yes","No"))</f>
        <v/>
      </c>
      <c r="L436" s="6" t="str">
        <f aca="false">IF(F436="","",INDEX({"Listening","Speaking","Reading","Writing"},MATCH(MIN(F436:I436),F436:I436,0)))</f>
        <v/>
      </c>
      <c r="M436" s="17"/>
      <c r="N436" s="6" t="str">
        <f aca="false">IF(OR(F436="",M436=""),"",ROUND(AVERAGE(F436:I436)-M436,1))</f>
        <v/>
      </c>
      <c r="O436" s="17"/>
      <c r="P436" s="17"/>
      <c r="Q436" s="17"/>
    </row>
    <row r="437" customFormat="false" ht="15" hidden="false" customHeight="tru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6" t="str">
        <f aca="false">IF(F437="","",IF(AND(F437&gt;=4,G437&gt;=4,H437&gt;=4,I437&gt;=4),"Proficient",IF(AND(F437&lt;=2,G437&lt;=2,H437&lt;=2,I437&lt;=2),"Emerging","Progressing")))</f>
        <v/>
      </c>
      <c r="K437" s="6" t="str">
        <f aca="false">IF(F437="","",IF(J437="Proficient","Yes","No"))</f>
        <v/>
      </c>
      <c r="L437" s="6" t="str">
        <f aca="false">IF(F437="","",INDEX({"Listening","Speaking","Reading","Writing"},MATCH(MIN(F437:I437),F437:I437,0)))</f>
        <v/>
      </c>
      <c r="M437" s="17"/>
      <c r="N437" s="6" t="str">
        <f aca="false">IF(OR(F437="",M437=""),"",ROUND(AVERAGE(F437:I437)-M437,1))</f>
        <v/>
      </c>
      <c r="O437" s="17"/>
      <c r="P437" s="17"/>
      <c r="Q437" s="17"/>
    </row>
    <row r="438" customFormat="false" ht="15" hidden="false" customHeight="tru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6" t="str">
        <f aca="false">IF(F438="","",IF(AND(F438&gt;=4,G438&gt;=4,H438&gt;=4,I438&gt;=4),"Proficient",IF(AND(F438&lt;=2,G438&lt;=2,H438&lt;=2,I438&lt;=2),"Emerging","Progressing")))</f>
        <v/>
      </c>
      <c r="K438" s="6" t="str">
        <f aca="false">IF(F438="","",IF(J438="Proficient","Yes","No"))</f>
        <v/>
      </c>
      <c r="L438" s="6" t="str">
        <f aca="false">IF(F438="","",INDEX({"Listening","Speaking","Reading","Writing"},MATCH(MIN(F438:I438),F438:I438,0)))</f>
        <v/>
      </c>
      <c r="M438" s="17"/>
      <c r="N438" s="6" t="str">
        <f aca="false">IF(OR(F438="",M438=""),"",ROUND(AVERAGE(F438:I438)-M438,1))</f>
        <v/>
      </c>
      <c r="O438" s="17"/>
      <c r="P438" s="17"/>
      <c r="Q438" s="17"/>
    </row>
    <row r="439" customFormat="false" ht="15" hidden="false" customHeight="tru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6" t="str">
        <f aca="false">IF(F439="","",IF(AND(F439&gt;=4,G439&gt;=4,H439&gt;=4,I439&gt;=4),"Proficient",IF(AND(F439&lt;=2,G439&lt;=2,H439&lt;=2,I439&lt;=2),"Emerging","Progressing")))</f>
        <v/>
      </c>
      <c r="K439" s="6" t="str">
        <f aca="false">IF(F439="","",IF(J439="Proficient","Yes","No"))</f>
        <v/>
      </c>
      <c r="L439" s="6" t="str">
        <f aca="false">IF(F439="","",INDEX({"Listening","Speaking","Reading","Writing"},MATCH(MIN(F439:I439),F439:I439,0)))</f>
        <v/>
      </c>
      <c r="M439" s="17"/>
      <c r="N439" s="6" t="str">
        <f aca="false">IF(OR(F439="",M439=""),"",ROUND(AVERAGE(F439:I439)-M439,1))</f>
        <v/>
      </c>
      <c r="O439" s="17"/>
      <c r="P439" s="17"/>
      <c r="Q439" s="17"/>
    </row>
    <row r="440" customFormat="false" ht="15" hidden="false" customHeight="tru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6" t="str">
        <f aca="false">IF(F440="","",IF(AND(F440&gt;=4,G440&gt;=4,H440&gt;=4,I440&gt;=4),"Proficient",IF(AND(F440&lt;=2,G440&lt;=2,H440&lt;=2,I440&lt;=2),"Emerging","Progressing")))</f>
        <v/>
      </c>
      <c r="K440" s="6" t="str">
        <f aca="false">IF(F440="","",IF(J440="Proficient","Yes","No"))</f>
        <v/>
      </c>
      <c r="L440" s="6" t="str">
        <f aca="false">IF(F440="","",INDEX({"Listening","Speaking","Reading","Writing"},MATCH(MIN(F440:I440),F440:I440,0)))</f>
        <v/>
      </c>
      <c r="M440" s="17"/>
      <c r="N440" s="6" t="str">
        <f aca="false">IF(OR(F440="",M440=""),"",ROUND(AVERAGE(F440:I440)-M440,1))</f>
        <v/>
      </c>
      <c r="O440" s="17"/>
      <c r="P440" s="17"/>
      <c r="Q440" s="17"/>
    </row>
    <row r="441" customFormat="false" ht="15" hidden="false" customHeight="tru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6" t="str">
        <f aca="false">IF(F441="","",IF(AND(F441&gt;=4,G441&gt;=4,H441&gt;=4,I441&gt;=4),"Proficient",IF(AND(F441&lt;=2,G441&lt;=2,H441&lt;=2,I441&lt;=2),"Emerging","Progressing")))</f>
        <v/>
      </c>
      <c r="K441" s="6" t="str">
        <f aca="false">IF(F441="","",IF(J441="Proficient","Yes","No"))</f>
        <v/>
      </c>
      <c r="L441" s="6" t="str">
        <f aca="false">IF(F441="","",INDEX({"Listening","Speaking","Reading","Writing"},MATCH(MIN(F441:I441),F441:I441,0)))</f>
        <v/>
      </c>
      <c r="M441" s="17"/>
      <c r="N441" s="6" t="str">
        <f aca="false">IF(OR(F441="",M441=""),"",ROUND(AVERAGE(F441:I441)-M441,1))</f>
        <v/>
      </c>
      <c r="O441" s="17"/>
      <c r="P441" s="17"/>
      <c r="Q441" s="17"/>
    </row>
    <row r="442" customFormat="false" ht="15" hidden="false" customHeight="tru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6" t="str">
        <f aca="false">IF(F442="","",IF(AND(F442&gt;=4,G442&gt;=4,H442&gt;=4,I442&gt;=4),"Proficient",IF(AND(F442&lt;=2,G442&lt;=2,H442&lt;=2,I442&lt;=2),"Emerging","Progressing")))</f>
        <v/>
      </c>
      <c r="K442" s="6" t="str">
        <f aca="false">IF(F442="","",IF(J442="Proficient","Yes","No"))</f>
        <v/>
      </c>
      <c r="L442" s="6" t="str">
        <f aca="false">IF(F442="","",INDEX({"Listening","Speaking","Reading","Writing"},MATCH(MIN(F442:I442),F442:I442,0)))</f>
        <v/>
      </c>
      <c r="M442" s="17"/>
      <c r="N442" s="6" t="str">
        <f aca="false">IF(OR(F442="",M442=""),"",ROUND(AVERAGE(F442:I442)-M442,1))</f>
        <v/>
      </c>
      <c r="O442" s="17"/>
      <c r="P442" s="17"/>
      <c r="Q442" s="17"/>
    </row>
    <row r="443" customFormat="false" ht="15" hidden="false" customHeight="tru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6" t="str">
        <f aca="false">IF(F443="","",IF(AND(F443&gt;=4,G443&gt;=4,H443&gt;=4,I443&gt;=4),"Proficient",IF(AND(F443&lt;=2,G443&lt;=2,H443&lt;=2,I443&lt;=2),"Emerging","Progressing")))</f>
        <v/>
      </c>
      <c r="K443" s="6" t="str">
        <f aca="false">IF(F443="","",IF(J443="Proficient","Yes","No"))</f>
        <v/>
      </c>
      <c r="L443" s="6" t="str">
        <f aca="false">IF(F443="","",INDEX({"Listening","Speaking","Reading","Writing"},MATCH(MIN(F443:I443),F443:I443,0)))</f>
        <v/>
      </c>
      <c r="M443" s="17"/>
      <c r="N443" s="6" t="str">
        <f aca="false">IF(OR(F443="",M443=""),"",ROUND(AVERAGE(F443:I443)-M443,1))</f>
        <v/>
      </c>
      <c r="O443" s="17"/>
      <c r="P443" s="17"/>
      <c r="Q443" s="17"/>
    </row>
    <row r="444" customFormat="false" ht="15" hidden="false" customHeight="tru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6" t="str">
        <f aca="false">IF(F444="","",IF(AND(F444&gt;=4,G444&gt;=4,H444&gt;=4,I444&gt;=4),"Proficient",IF(AND(F444&lt;=2,G444&lt;=2,H444&lt;=2,I444&lt;=2),"Emerging","Progressing")))</f>
        <v/>
      </c>
      <c r="K444" s="6" t="str">
        <f aca="false">IF(F444="","",IF(J444="Proficient","Yes","No"))</f>
        <v/>
      </c>
      <c r="L444" s="6" t="str">
        <f aca="false">IF(F444="","",INDEX({"Listening","Speaking","Reading","Writing"},MATCH(MIN(F444:I444),F444:I444,0)))</f>
        <v/>
      </c>
      <c r="M444" s="17"/>
      <c r="N444" s="6" t="str">
        <f aca="false">IF(OR(F444="",M444=""),"",ROUND(AVERAGE(F444:I444)-M444,1))</f>
        <v/>
      </c>
      <c r="O444" s="17"/>
      <c r="P444" s="17"/>
      <c r="Q444" s="17"/>
    </row>
    <row r="445" customFormat="false" ht="15" hidden="false" customHeight="tru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6" t="str">
        <f aca="false">IF(F445="","",IF(AND(F445&gt;=4,G445&gt;=4,H445&gt;=4,I445&gt;=4),"Proficient",IF(AND(F445&lt;=2,G445&lt;=2,H445&lt;=2,I445&lt;=2),"Emerging","Progressing")))</f>
        <v/>
      </c>
      <c r="K445" s="6" t="str">
        <f aca="false">IF(F445="","",IF(J445="Proficient","Yes","No"))</f>
        <v/>
      </c>
      <c r="L445" s="6" t="str">
        <f aca="false">IF(F445="","",INDEX({"Listening","Speaking","Reading","Writing"},MATCH(MIN(F445:I445),F445:I445,0)))</f>
        <v/>
      </c>
      <c r="M445" s="17"/>
      <c r="N445" s="6" t="str">
        <f aca="false">IF(OR(F445="",M445=""),"",ROUND(AVERAGE(F445:I445)-M445,1))</f>
        <v/>
      </c>
      <c r="O445" s="17"/>
      <c r="P445" s="17"/>
      <c r="Q445" s="17"/>
    </row>
    <row r="446" customFormat="false" ht="15" hidden="false" customHeight="tru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6" t="str">
        <f aca="false">IF(F446="","",IF(AND(F446&gt;=4,G446&gt;=4,H446&gt;=4,I446&gt;=4),"Proficient",IF(AND(F446&lt;=2,G446&lt;=2,H446&lt;=2,I446&lt;=2),"Emerging","Progressing")))</f>
        <v/>
      </c>
      <c r="K446" s="6" t="str">
        <f aca="false">IF(F446="","",IF(J446="Proficient","Yes","No"))</f>
        <v/>
      </c>
      <c r="L446" s="6" t="str">
        <f aca="false">IF(F446="","",INDEX({"Listening","Speaking","Reading","Writing"},MATCH(MIN(F446:I446),F446:I446,0)))</f>
        <v/>
      </c>
      <c r="M446" s="17"/>
      <c r="N446" s="6" t="str">
        <f aca="false">IF(OR(F446="",M446=""),"",ROUND(AVERAGE(F446:I446)-M446,1))</f>
        <v/>
      </c>
      <c r="O446" s="17"/>
      <c r="P446" s="17"/>
      <c r="Q446" s="17"/>
    </row>
    <row r="447" customFormat="false" ht="15" hidden="false" customHeight="tru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6" t="str">
        <f aca="false">IF(F447="","",IF(AND(F447&gt;=4,G447&gt;=4,H447&gt;=4,I447&gt;=4),"Proficient",IF(AND(F447&lt;=2,G447&lt;=2,H447&lt;=2,I447&lt;=2),"Emerging","Progressing")))</f>
        <v/>
      </c>
      <c r="K447" s="6" t="str">
        <f aca="false">IF(F447="","",IF(J447="Proficient","Yes","No"))</f>
        <v/>
      </c>
      <c r="L447" s="6" t="str">
        <f aca="false">IF(F447="","",INDEX({"Listening","Speaking","Reading","Writing"},MATCH(MIN(F447:I447),F447:I447,0)))</f>
        <v/>
      </c>
      <c r="M447" s="17"/>
      <c r="N447" s="6" t="str">
        <f aca="false">IF(OR(F447="",M447=""),"",ROUND(AVERAGE(F447:I447)-M447,1))</f>
        <v/>
      </c>
      <c r="O447" s="17"/>
      <c r="P447" s="17"/>
      <c r="Q447" s="17"/>
    </row>
    <row r="448" customFormat="false" ht="15" hidden="false" customHeight="tru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6" t="str">
        <f aca="false">IF(F448="","",IF(AND(F448&gt;=4,G448&gt;=4,H448&gt;=4,I448&gt;=4),"Proficient",IF(AND(F448&lt;=2,G448&lt;=2,H448&lt;=2,I448&lt;=2),"Emerging","Progressing")))</f>
        <v/>
      </c>
      <c r="K448" s="6" t="str">
        <f aca="false">IF(F448="","",IF(J448="Proficient","Yes","No"))</f>
        <v/>
      </c>
      <c r="L448" s="6" t="str">
        <f aca="false">IF(F448="","",INDEX({"Listening","Speaking","Reading","Writing"},MATCH(MIN(F448:I448),F448:I448,0)))</f>
        <v/>
      </c>
      <c r="M448" s="17"/>
      <c r="N448" s="6" t="str">
        <f aca="false">IF(OR(F448="",M448=""),"",ROUND(AVERAGE(F448:I448)-M448,1))</f>
        <v/>
      </c>
      <c r="O448" s="17"/>
      <c r="P448" s="17"/>
      <c r="Q448" s="17"/>
    </row>
    <row r="449" customFormat="false" ht="15" hidden="false" customHeight="tru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6" t="str">
        <f aca="false">IF(F449="","",IF(AND(F449&gt;=4,G449&gt;=4,H449&gt;=4,I449&gt;=4),"Proficient",IF(AND(F449&lt;=2,G449&lt;=2,H449&lt;=2,I449&lt;=2),"Emerging","Progressing")))</f>
        <v/>
      </c>
      <c r="K449" s="6" t="str">
        <f aca="false">IF(F449="","",IF(J449="Proficient","Yes","No"))</f>
        <v/>
      </c>
      <c r="L449" s="6" t="str">
        <f aca="false">IF(F449="","",INDEX({"Listening","Speaking","Reading","Writing"},MATCH(MIN(F449:I449),F449:I449,0)))</f>
        <v/>
      </c>
      <c r="M449" s="17"/>
      <c r="N449" s="6" t="str">
        <f aca="false">IF(OR(F449="",M449=""),"",ROUND(AVERAGE(F449:I449)-M449,1))</f>
        <v/>
      </c>
      <c r="O449" s="17"/>
      <c r="P449" s="17"/>
      <c r="Q449" s="17"/>
    </row>
    <row r="450" customFormat="false" ht="15" hidden="false" customHeight="tru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6" t="str">
        <f aca="false">IF(F450="","",IF(AND(F450&gt;=4,G450&gt;=4,H450&gt;=4,I450&gt;=4),"Proficient",IF(AND(F450&lt;=2,G450&lt;=2,H450&lt;=2,I450&lt;=2),"Emerging","Progressing")))</f>
        <v/>
      </c>
      <c r="K450" s="6" t="str">
        <f aca="false">IF(F450="","",IF(J450="Proficient","Yes","No"))</f>
        <v/>
      </c>
      <c r="L450" s="6" t="str">
        <f aca="false">IF(F450="","",INDEX({"Listening","Speaking","Reading","Writing"},MATCH(MIN(F450:I450),F450:I450,0)))</f>
        <v/>
      </c>
      <c r="M450" s="17"/>
      <c r="N450" s="6" t="str">
        <f aca="false">IF(OR(F450="",M450=""),"",ROUND(AVERAGE(F450:I450)-M450,1))</f>
        <v/>
      </c>
      <c r="O450" s="17"/>
      <c r="P450" s="17"/>
      <c r="Q450" s="17"/>
    </row>
    <row r="451" customFormat="false" ht="15" hidden="false" customHeight="tru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6" t="str">
        <f aca="false">IF(F451="","",IF(AND(F451&gt;=4,G451&gt;=4,H451&gt;=4,I451&gt;=4),"Proficient",IF(AND(F451&lt;=2,G451&lt;=2,H451&lt;=2,I451&lt;=2),"Emerging","Progressing")))</f>
        <v/>
      </c>
      <c r="K451" s="6" t="str">
        <f aca="false">IF(F451="","",IF(J451="Proficient","Yes","No"))</f>
        <v/>
      </c>
      <c r="L451" s="6" t="str">
        <f aca="false">IF(F451="","",INDEX({"Listening","Speaking","Reading","Writing"},MATCH(MIN(F451:I451),F451:I451,0)))</f>
        <v/>
      </c>
      <c r="M451" s="17"/>
      <c r="N451" s="6" t="str">
        <f aca="false">IF(OR(F451="",M451=""),"",ROUND(AVERAGE(F451:I451)-M451,1))</f>
        <v/>
      </c>
      <c r="O451" s="17"/>
      <c r="P451" s="17"/>
      <c r="Q451" s="17"/>
    </row>
    <row r="452" customFormat="false" ht="15" hidden="false" customHeight="tru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6" t="str">
        <f aca="false">IF(F452="","",IF(AND(F452&gt;=4,G452&gt;=4,H452&gt;=4,I452&gt;=4),"Proficient",IF(AND(F452&lt;=2,G452&lt;=2,H452&lt;=2,I452&lt;=2),"Emerging","Progressing")))</f>
        <v/>
      </c>
      <c r="K452" s="6" t="str">
        <f aca="false">IF(F452="","",IF(J452="Proficient","Yes","No"))</f>
        <v/>
      </c>
      <c r="L452" s="6" t="str">
        <f aca="false">IF(F452="","",INDEX({"Listening","Speaking","Reading","Writing"},MATCH(MIN(F452:I452),F452:I452,0)))</f>
        <v/>
      </c>
      <c r="M452" s="17"/>
      <c r="N452" s="6" t="str">
        <f aca="false">IF(OR(F452="",M452=""),"",ROUND(AVERAGE(F452:I452)-M452,1))</f>
        <v/>
      </c>
      <c r="O452" s="17"/>
      <c r="P452" s="17"/>
      <c r="Q452" s="17"/>
    </row>
    <row r="453" customFormat="false" ht="15" hidden="false" customHeight="tru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6" t="str">
        <f aca="false">IF(F453="","",IF(AND(F453&gt;=4,G453&gt;=4,H453&gt;=4,I453&gt;=4),"Proficient",IF(AND(F453&lt;=2,G453&lt;=2,H453&lt;=2,I453&lt;=2),"Emerging","Progressing")))</f>
        <v/>
      </c>
      <c r="K453" s="6" t="str">
        <f aca="false">IF(F453="","",IF(J453="Proficient","Yes","No"))</f>
        <v/>
      </c>
      <c r="L453" s="6" t="str">
        <f aca="false">IF(F453="","",INDEX({"Listening","Speaking","Reading","Writing"},MATCH(MIN(F453:I453),F453:I453,0)))</f>
        <v/>
      </c>
      <c r="M453" s="17"/>
      <c r="N453" s="6" t="str">
        <f aca="false">IF(OR(F453="",M453=""),"",ROUND(AVERAGE(F453:I453)-M453,1))</f>
        <v/>
      </c>
      <c r="O453" s="17"/>
      <c r="P453" s="17"/>
      <c r="Q453" s="17"/>
    </row>
    <row r="454" customFormat="false" ht="15" hidden="false" customHeight="tru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6" t="str">
        <f aca="false">IF(F454="","",IF(AND(F454&gt;=4,G454&gt;=4,H454&gt;=4,I454&gt;=4),"Proficient",IF(AND(F454&lt;=2,G454&lt;=2,H454&lt;=2,I454&lt;=2),"Emerging","Progressing")))</f>
        <v/>
      </c>
      <c r="K454" s="6" t="str">
        <f aca="false">IF(F454="","",IF(J454="Proficient","Yes","No"))</f>
        <v/>
      </c>
      <c r="L454" s="6" t="str">
        <f aca="false">IF(F454="","",INDEX({"Listening","Speaking","Reading","Writing"},MATCH(MIN(F454:I454),F454:I454,0)))</f>
        <v/>
      </c>
      <c r="M454" s="17"/>
      <c r="N454" s="6" t="str">
        <f aca="false">IF(OR(F454="",M454=""),"",ROUND(AVERAGE(F454:I454)-M454,1))</f>
        <v/>
      </c>
      <c r="O454" s="17"/>
      <c r="P454" s="17"/>
      <c r="Q454" s="17"/>
    </row>
    <row r="455" customFormat="false" ht="15" hidden="false" customHeight="tru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6" t="str">
        <f aca="false">IF(F455="","",IF(AND(F455&gt;=4,G455&gt;=4,H455&gt;=4,I455&gt;=4),"Proficient",IF(AND(F455&lt;=2,G455&lt;=2,H455&lt;=2,I455&lt;=2),"Emerging","Progressing")))</f>
        <v/>
      </c>
      <c r="K455" s="6" t="str">
        <f aca="false">IF(F455="","",IF(J455="Proficient","Yes","No"))</f>
        <v/>
      </c>
      <c r="L455" s="6" t="str">
        <f aca="false">IF(F455="","",INDEX({"Listening","Speaking","Reading","Writing"},MATCH(MIN(F455:I455),F455:I455,0)))</f>
        <v/>
      </c>
      <c r="M455" s="17"/>
      <c r="N455" s="6" t="str">
        <f aca="false">IF(OR(F455="",M455=""),"",ROUND(AVERAGE(F455:I455)-M455,1))</f>
        <v/>
      </c>
      <c r="O455" s="17"/>
      <c r="P455" s="17"/>
      <c r="Q455" s="17"/>
    </row>
    <row r="456" customFormat="false" ht="15" hidden="false" customHeight="tru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6" t="str">
        <f aca="false">IF(F456="","",IF(AND(F456&gt;=4,G456&gt;=4,H456&gt;=4,I456&gt;=4),"Proficient",IF(AND(F456&lt;=2,G456&lt;=2,H456&lt;=2,I456&lt;=2),"Emerging","Progressing")))</f>
        <v/>
      </c>
      <c r="K456" s="6" t="str">
        <f aca="false">IF(F456="","",IF(J456="Proficient","Yes","No"))</f>
        <v/>
      </c>
      <c r="L456" s="6" t="str">
        <f aca="false">IF(F456="","",INDEX({"Listening","Speaking","Reading","Writing"},MATCH(MIN(F456:I456),F456:I456,0)))</f>
        <v/>
      </c>
      <c r="M456" s="17"/>
      <c r="N456" s="6" t="str">
        <f aca="false">IF(OR(F456="",M456=""),"",ROUND(AVERAGE(F456:I456)-M456,1))</f>
        <v/>
      </c>
      <c r="O456" s="17"/>
      <c r="P456" s="17"/>
      <c r="Q456" s="17"/>
    </row>
    <row r="457" customFormat="false" ht="15" hidden="false" customHeight="tru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6" t="str">
        <f aca="false">IF(F457="","",IF(AND(F457&gt;=4,G457&gt;=4,H457&gt;=4,I457&gt;=4),"Proficient",IF(AND(F457&lt;=2,G457&lt;=2,H457&lt;=2,I457&lt;=2),"Emerging","Progressing")))</f>
        <v/>
      </c>
      <c r="K457" s="6" t="str">
        <f aca="false">IF(F457="","",IF(J457="Proficient","Yes","No"))</f>
        <v/>
      </c>
      <c r="L457" s="6" t="str">
        <f aca="false">IF(F457="","",INDEX({"Listening","Speaking","Reading","Writing"},MATCH(MIN(F457:I457),F457:I457,0)))</f>
        <v/>
      </c>
      <c r="M457" s="17"/>
      <c r="N457" s="6" t="str">
        <f aca="false">IF(OR(F457="",M457=""),"",ROUND(AVERAGE(F457:I457)-M457,1))</f>
        <v/>
      </c>
      <c r="O457" s="17"/>
      <c r="P457" s="17"/>
      <c r="Q457" s="17"/>
    </row>
    <row r="458" customFormat="false" ht="15" hidden="false" customHeight="tru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6" t="str">
        <f aca="false">IF(F458="","",IF(AND(F458&gt;=4,G458&gt;=4,H458&gt;=4,I458&gt;=4),"Proficient",IF(AND(F458&lt;=2,G458&lt;=2,H458&lt;=2,I458&lt;=2),"Emerging","Progressing")))</f>
        <v/>
      </c>
      <c r="K458" s="6" t="str">
        <f aca="false">IF(F458="","",IF(J458="Proficient","Yes","No"))</f>
        <v/>
      </c>
      <c r="L458" s="6" t="str">
        <f aca="false">IF(F458="","",INDEX({"Listening","Speaking","Reading","Writing"},MATCH(MIN(F458:I458),F458:I458,0)))</f>
        <v/>
      </c>
      <c r="M458" s="17"/>
      <c r="N458" s="6" t="str">
        <f aca="false">IF(OR(F458="",M458=""),"",ROUND(AVERAGE(F458:I458)-M458,1))</f>
        <v/>
      </c>
      <c r="O458" s="17"/>
      <c r="P458" s="17"/>
      <c r="Q458" s="17"/>
    </row>
    <row r="459" customFormat="false" ht="15" hidden="false" customHeight="tru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6" t="str">
        <f aca="false">IF(F459="","",IF(AND(F459&gt;=4,G459&gt;=4,H459&gt;=4,I459&gt;=4),"Proficient",IF(AND(F459&lt;=2,G459&lt;=2,H459&lt;=2,I459&lt;=2),"Emerging","Progressing")))</f>
        <v/>
      </c>
      <c r="K459" s="6" t="str">
        <f aca="false">IF(F459="","",IF(J459="Proficient","Yes","No"))</f>
        <v/>
      </c>
      <c r="L459" s="6" t="str">
        <f aca="false">IF(F459="","",INDEX({"Listening","Speaking","Reading","Writing"},MATCH(MIN(F459:I459),F459:I459,0)))</f>
        <v/>
      </c>
      <c r="M459" s="17"/>
      <c r="N459" s="6" t="str">
        <f aca="false">IF(OR(F459="",M459=""),"",ROUND(AVERAGE(F459:I459)-M459,1))</f>
        <v/>
      </c>
      <c r="O459" s="17"/>
      <c r="P459" s="17"/>
      <c r="Q459" s="17"/>
    </row>
    <row r="460" customFormat="false" ht="15" hidden="false" customHeight="tru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6" t="str">
        <f aca="false">IF(F460="","",IF(AND(F460&gt;=4,G460&gt;=4,H460&gt;=4,I460&gt;=4),"Proficient",IF(AND(F460&lt;=2,G460&lt;=2,H460&lt;=2,I460&lt;=2),"Emerging","Progressing")))</f>
        <v/>
      </c>
      <c r="K460" s="6" t="str">
        <f aca="false">IF(F460="","",IF(J460="Proficient","Yes","No"))</f>
        <v/>
      </c>
      <c r="L460" s="6" t="str">
        <f aca="false">IF(F460="","",INDEX({"Listening","Speaking","Reading","Writing"},MATCH(MIN(F460:I460),F460:I460,0)))</f>
        <v/>
      </c>
      <c r="M460" s="17"/>
      <c r="N460" s="6" t="str">
        <f aca="false">IF(OR(F460="",M460=""),"",ROUND(AVERAGE(F460:I460)-M460,1))</f>
        <v/>
      </c>
      <c r="O460" s="17"/>
      <c r="P460" s="17"/>
      <c r="Q460" s="17"/>
    </row>
    <row r="461" customFormat="false" ht="15" hidden="false" customHeight="tru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6" t="str">
        <f aca="false">IF(F461="","",IF(AND(F461&gt;=4,G461&gt;=4,H461&gt;=4,I461&gt;=4),"Proficient",IF(AND(F461&lt;=2,G461&lt;=2,H461&lt;=2,I461&lt;=2),"Emerging","Progressing")))</f>
        <v/>
      </c>
      <c r="K461" s="6" t="str">
        <f aca="false">IF(F461="","",IF(J461="Proficient","Yes","No"))</f>
        <v/>
      </c>
      <c r="L461" s="6" t="str">
        <f aca="false">IF(F461="","",INDEX({"Listening","Speaking","Reading","Writing"},MATCH(MIN(F461:I461),F461:I461,0)))</f>
        <v/>
      </c>
      <c r="M461" s="17"/>
      <c r="N461" s="6" t="str">
        <f aca="false">IF(OR(F461="",M461=""),"",ROUND(AVERAGE(F461:I461)-M461,1))</f>
        <v/>
      </c>
      <c r="O461" s="17"/>
      <c r="P461" s="17"/>
      <c r="Q461" s="17"/>
    </row>
    <row r="462" customFormat="false" ht="15" hidden="false" customHeight="tru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6" t="str">
        <f aca="false">IF(F462="","",IF(AND(F462&gt;=4,G462&gt;=4,H462&gt;=4,I462&gt;=4),"Proficient",IF(AND(F462&lt;=2,G462&lt;=2,H462&lt;=2,I462&lt;=2),"Emerging","Progressing")))</f>
        <v/>
      </c>
      <c r="K462" s="6" t="str">
        <f aca="false">IF(F462="","",IF(J462="Proficient","Yes","No"))</f>
        <v/>
      </c>
      <c r="L462" s="6" t="str">
        <f aca="false">IF(F462="","",INDEX({"Listening","Speaking","Reading","Writing"},MATCH(MIN(F462:I462),F462:I462,0)))</f>
        <v/>
      </c>
      <c r="M462" s="17"/>
      <c r="N462" s="6" t="str">
        <f aca="false">IF(OR(F462="",M462=""),"",ROUND(AVERAGE(F462:I462)-M462,1))</f>
        <v/>
      </c>
      <c r="O462" s="17"/>
      <c r="P462" s="17"/>
      <c r="Q462" s="17"/>
    </row>
    <row r="463" customFormat="false" ht="15" hidden="false" customHeight="tru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6" t="str">
        <f aca="false">IF(F463="","",IF(AND(F463&gt;=4,G463&gt;=4,H463&gt;=4,I463&gt;=4),"Proficient",IF(AND(F463&lt;=2,G463&lt;=2,H463&lt;=2,I463&lt;=2),"Emerging","Progressing")))</f>
        <v/>
      </c>
      <c r="K463" s="6" t="str">
        <f aca="false">IF(F463="","",IF(J463="Proficient","Yes","No"))</f>
        <v/>
      </c>
      <c r="L463" s="6" t="str">
        <f aca="false">IF(F463="","",INDEX({"Listening","Speaking","Reading","Writing"},MATCH(MIN(F463:I463),F463:I463,0)))</f>
        <v/>
      </c>
      <c r="M463" s="17"/>
      <c r="N463" s="6" t="str">
        <f aca="false">IF(OR(F463="",M463=""),"",ROUND(AVERAGE(F463:I463)-M463,1))</f>
        <v/>
      </c>
      <c r="O463" s="17"/>
      <c r="P463" s="17"/>
      <c r="Q463" s="17"/>
    </row>
    <row r="464" customFormat="false" ht="15" hidden="false" customHeight="tru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6" t="str">
        <f aca="false">IF(F464="","",IF(AND(F464&gt;=4,G464&gt;=4,H464&gt;=4,I464&gt;=4),"Proficient",IF(AND(F464&lt;=2,G464&lt;=2,H464&lt;=2,I464&lt;=2),"Emerging","Progressing")))</f>
        <v/>
      </c>
      <c r="K464" s="6" t="str">
        <f aca="false">IF(F464="","",IF(J464="Proficient","Yes","No"))</f>
        <v/>
      </c>
      <c r="L464" s="6" t="str">
        <f aca="false">IF(F464="","",INDEX({"Listening","Speaking","Reading","Writing"},MATCH(MIN(F464:I464),F464:I464,0)))</f>
        <v/>
      </c>
      <c r="M464" s="17"/>
      <c r="N464" s="6" t="str">
        <f aca="false">IF(OR(F464="",M464=""),"",ROUND(AVERAGE(F464:I464)-M464,1))</f>
        <v/>
      </c>
      <c r="O464" s="17"/>
      <c r="P464" s="17"/>
      <c r="Q464" s="17"/>
    </row>
    <row r="465" customFormat="false" ht="15" hidden="false" customHeight="tru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6" t="str">
        <f aca="false">IF(F465="","",IF(AND(F465&gt;=4,G465&gt;=4,H465&gt;=4,I465&gt;=4),"Proficient",IF(AND(F465&lt;=2,G465&lt;=2,H465&lt;=2,I465&lt;=2),"Emerging","Progressing")))</f>
        <v/>
      </c>
      <c r="K465" s="6" t="str">
        <f aca="false">IF(F465="","",IF(J465="Proficient","Yes","No"))</f>
        <v/>
      </c>
      <c r="L465" s="6" t="str">
        <f aca="false">IF(F465="","",INDEX({"Listening","Speaking","Reading","Writing"},MATCH(MIN(F465:I465),F465:I465,0)))</f>
        <v/>
      </c>
      <c r="M465" s="17"/>
      <c r="N465" s="6" t="str">
        <f aca="false">IF(OR(F465="",M465=""),"",ROUND(AVERAGE(F465:I465)-M465,1))</f>
        <v/>
      </c>
      <c r="O465" s="17"/>
      <c r="P465" s="17"/>
      <c r="Q465" s="17"/>
    </row>
    <row r="466" customFormat="false" ht="15" hidden="false" customHeight="tru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6" t="str">
        <f aca="false">IF(F466="","",IF(AND(F466&gt;=4,G466&gt;=4,H466&gt;=4,I466&gt;=4),"Proficient",IF(AND(F466&lt;=2,G466&lt;=2,H466&lt;=2,I466&lt;=2),"Emerging","Progressing")))</f>
        <v/>
      </c>
      <c r="K466" s="6" t="str">
        <f aca="false">IF(F466="","",IF(J466="Proficient","Yes","No"))</f>
        <v/>
      </c>
      <c r="L466" s="6" t="str">
        <f aca="false">IF(F466="","",INDEX({"Listening","Speaking","Reading","Writing"},MATCH(MIN(F466:I466),F466:I466,0)))</f>
        <v/>
      </c>
      <c r="M466" s="17"/>
      <c r="N466" s="6" t="str">
        <f aca="false">IF(OR(F466="",M466=""),"",ROUND(AVERAGE(F466:I466)-M466,1))</f>
        <v/>
      </c>
      <c r="O466" s="17"/>
      <c r="P466" s="17"/>
      <c r="Q466" s="17"/>
    </row>
    <row r="467" customFormat="false" ht="15" hidden="false" customHeight="tru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6" t="str">
        <f aca="false">IF(F467="","",IF(AND(F467&gt;=4,G467&gt;=4,H467&gt;=4,I467&gt;=4),"Proficient",IF(AND(F467&lt;=2,G467&lt;=2,H467&lt;=2,I467&lt;=2),"Emerging","Progressing")))</f>
        <v/>
      </c>
      <c r="K467" s="6" t="str">
        <f aca="false">IF(F467="","",IF(J467="Proficient","Yes","No"))</f>
        <v/>
      </c>
      <c r="L467" s="6" t="str">
        <f aca="false">IF(F467="","",INDEX({"Listening","Speaking","Reading","Writing"},MATCH(MIN(F467:I467),F467:I467,0)))</f>
        <v/>
      </c>
      <c r="M467" s="17"/>
      <c r="N467" s="6" t="str">
        <f aca="false">IF(OR(F467="",M467=""),"",ROUND(AVERAGE(F467:I467)-M467,1))</f>
        <v/>
      </c>
      <c r="O467" s="17"/>
      <c r="P467" s="17"/>
      <c r="Q467" s="17"/>
    </row>
    <row r="468" customFormat="false" ht="15" hidden="false" customHeight="tru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6" t="str">
        <f aca="false">IF(F468="","",IF(AND(F468&gt;=4,G468&gt;=4,H468&gt;=4,I468&gt;=4),"Proficient",IF(AND(F468&lt;=2,G468&lt;=2,H468&lt;=2,I468&lt;=2),"Emerging","Progressing")))</f>
        <v/>
      </c>
      <c r="K468" s="6" t="str">
        <f aca="false">IF(F468="","",IF(J468="Proficient","Yes","No"))</f>
        <v/>
      </c>
      <c r="L468" s="6" t="str">
        <f aca="false">IF(F468="","",INDEX({"Listening","Speaking","Reading","Writing"},MATCH(MIN(F468:I468),F468:I468,0)))</f>
        <v/>
      </c>
      <c r="M468" s="17"/>
      <c r="N468" s="6" t="str">
        <f aca="false">IF(OR(F468="",M468=""),"",ROUND(AVERAGE(F468:I468)-M468,1))</f>
        <v/>
      </c>
      <c r="O468" s="17"/>
      <c r="P468" s="17"/>
      <c r="Q468" s="17"/>
    </row>
    <row r="469" customFormat="false" ht="15" hidden="false" customHeight="tru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6" t="str">
        <f aca="false">IF(F469="","",IF(AND(F469&gt;=4,G469&gt;=4,H469&gt;=4,I469&gt;=4),"Proficient",IF(AND(F469&lt;=2,G469&lt;=2,H469&lt;=2,I469&lt;=2),"Emerging","Progressing")))</f>
        <v/>
      </c>
      <c r="K469" s="6" t="str">
        <f aca="false">IF(F469="","",IF(J469="Proficient","Yes","No"))</f>
        <v/>
      </c>
      <c r="L469" s="6" t="str">
        <f aca="false">IF(F469="","",INDEX({"Listening","Speaking","Reading","Writing"},MATCH(MIN(F469:I469),F469:I469,0)))</f>
        <v/>
      </c>
      <c r="M469" s="17"/>
      <c r="N469" s="6" t="str">
        <f aca="false">IF(OR(F469="",M469=""),"",ROUND(AVERAGE(F469:I469)-M469,1))</f>
        <v/>
      </c>
      <c r="O469" s="17"/>
      <c r="P469" s="17"/>
      <c r="Q469" s="17"/>
    </row>
    <row r="470" customFormat="false" ht="15" hidden="false" customHeight="tru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6" t="str">
        <f aca="false">IF(F470="","",IF(AND(F470&gt;=4,G470&gt;=4,H470&gt;=4,I470&gt;=4),"Proficient",IF(AND(F470&lt;=2,G470&lt;=2,H470&lt;=2,I470&lt;=2),"Emerging","Progressing")))</f>
        <v/>
      </c>
      <c r="K470" s="6" t="str">
        <f aca="false">IF(F470="","",IF(J470="Proficient","Yes","No"))</f>
        <v/>
      </c>
      <c r="L470" s="6" t="str">
        <f aca="false">IF(F470="","",INDEX({"Listening","Speaking","Reading","Writing"},MATCH(MIN(F470:I470),F470:I470,0)))</f>
        <v/>
      </c>
      <c r="M470" s="17"/>
      <c r="N470" s="6" t="str">
        <f aca="false">IF(OR(F470="",M470=""),"",ROUND(AVERAGE(F470:I470)-M470,1))</f>
        <v/>
      </c>
      <c r="O470" s="17"/>
      <c r="P470" s="17"/>
      <c r="Q470" s="17"/>
    </row>
    <row r="471" customFormat="false" ht="15" hidden="false" customHeight="tru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6" t="str">
        <f aca="false">IF(F471="","",IF(AND(F471&gt;=4,G471&gt;=4,H471&gt;=4,I471&gt;=4),"Proficient",IF(AND(F471&lt;=2,G471&lt;=2,H471&lt;=2,I471&lt;=2),"Emerging","Progressing")))</f>
        <v/>
      </c>
      <c r="K471" s="6" t="str">
        <f aca="false">IF(F471="","",IF(J471="Proficient","Yes","No"))</f>
        <v/>
      </c>
      <c r="L471" s="6" t="str">
        <f aca="false">IF(F471="","",INDEX({"Listening","Speaking","Reading","Writing"},MATCH(MIN(F471:I471),F471:I471,0)))</f>
        <v/>
      </c>
      <c r="M471" s="17"/>
      <c r="N471" s="6" t="str">
        <f aca="false">IF(OR(F471="",M471=""),"",ROUND(AVERAGE(F471:I471)-M471,1))</f>
        <v/>
      </c>
      <c r="O471" s="17"/>
      <c r="P471" s="17"/>
      <c r="Q471" s="17"/>
    </row>
    <row r="472" customFormat="false" ht="15" hidden="false" customHeight="tru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6" t="str">
        <f aca="false">IF(F472="","",IF(AND(F472&gt;=4,G472&gt;=4,H472&gt;=4,I472&gt;=4),"Proficient",IF(AND(F472&lt;=2,G472&lt;=2,H472&lt;=2,I472&lt;=2),"Emerging","Progressing")))</f>
        <v/>
      </c>
      <c r="K472" s="6" t="str">
        <f aca="false">IF(F472="","",IF(J472="Proficient","Yes","No"))</f>
        <v/>
      </c>
      <c r="L472" s="6" t="str">
        <f aca="false">IF(F472="","",INDEX({"Listening","Speaking","Reading","Writing"},MATCH(MIN(F472:I472),F472:I472,0)))</f>
        <v/>
      </c>
      <c r="M472" s="17"/>
      <c r="N472" s="6" t="str">
        <f aca="false">IF(OR(F472="",M472=""),"",ROUND(AVERAGE(F472:I472)-M472,1))</f>
        <v/>
      </c>
      <c r="O472" s="17"/>
      <c r="P472" s="17"/>
      <c r="Q472" s="17"/>
    </row>
    <row r="473" customFormat="false" ht="15" hidden="false" customHeight="tru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6" t="str">
        <f aca="false">IF(F473="","",IF(AND(F473&gt;=4,G473&gt;=4,H473&gt;=4,I473&gt;=4),"Proficient",IF(AND(F473&lt;=2,G473&lt;=2,H473&lt;=2,I473&lt;=2),"Emerging","Progressing")))</f>
        <v/>
      </c>
      <c r="K473" s="6" t="str">
        <f aca="false">IF(F473="","",IF(J473="Proficient","Yes","No"))</f>
        <v/>
      </c>
      <c r="L473" s="6" t="str">
        <f aca="false">IF(F473="","",INDEX({"Listening","Speaking","Reading","Writing"},MATCH(MIN(F473:I473),F473:I473,0)))</f>
        <v/>
      </c>
      <c r="M473" s="17"/>
      <c r="N473" s="6" t="str">
        <f aca="false">IF(OR(F473="",M473=""),"",ROUND(AVERAGE(F473:I473)-M473,1))</f>
        <v/>
      </c>
      <c r="O473" s="17"/>
      <c r="P473" s="17"/>
      <c r="Q473" s="17"/>
    </row>
    <row r="474" customFormat="false" ht="15" hidden="false" customHeight="tru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6" t="str">
        <f aca="false">IF(F474="","",IF(AND(F474&gt;=4,G474&gt;=4,H474&gt;=4,I474&gt;=4),"Proficient",IF(AND(F474&lt;=2,G474&lt;=2,H474&lt;=2,I474&lt;=2),"Emerging","Progressing")))</f>
        <v/>
      </c>
      <c r="K474" s="6" t="str">
        <f aca="false">IF(F474="","",IF(J474="Proficient","Yes","No"))</f>
        <v/>
      </c>
      <c r="L474" s="6" t="str">
        <f aca="false">IF(F474="","",INDEX({"Listening","Speaking","Reading","Writing"},MATCH(MIN(F474:I474),F474:I474,0)))</f>
        <v/>
      </c>
      <c r="M474" s="17"/>
      <c r="N474" s="6" t="str">
        <f aca="false">IF(OR(F474="",M474=""),"",ROUND(AVERAGE(F474:I474)-M474,1))</f>
        <v/>
      </c>
      <c r="O474" s="17"/>
      <c r="P474" s="17"/>
      <c r="Q474" s="17"/>
    </row>
    <row r="475" customFormat="false" ht="15" hidden="false" customHeight="tru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6" t="str">
        <f aca="false">IF(F475="","",IF(AND(F475&gt;=4,G475&gt;=4,H475&gt;=4,I475&gt;=4),"Proficient",IF(AND(F475&lt;=2,G475&lt;=2,H475&lt;=2,I475&lt;=2),"Emerging","Progressing")))</f>
        <v/>
      </c>
      <c r="K475" s="6" t="str">
        <f aca="false">IF(F475="","",IF(J475="Proficient","Yes","No"))</f>
        <v/>
      </c>
      <c r="L475" s="6" t="str">
        <f aca="false">IF(F475="","",INDEX({"Listening","Speaking","Reading","Writing"},MATCH(MIN(F475:I475),F475:I475,0)))</f>
        <v/>
      </c>
      <c r="M475" s="17"/>
      <c r="N475" s="6" t="str">
        <f aca="false">IF(OR(F475="",M475=""),"",ROUND(AVERAGE(F475:I475)-M475,1))</f>
        <v/>
      </c>
      <c r="O475" s="17"/>
      <c r="P475" s="17"/>
      <c r="Q475" s="17"/>
    </row>
    <row r="476" customFormat="false" ht="15" hidden="false" customHeight="tru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6" t="str">
        <f aca="false">IF(F476="","",IF(AND(F476&gt;=4,G476&gt;=4,H476&gt;=4,I476&gt;=4),"Proficient",IF(AND(F476&lt;=2,G476&lt;=2,H476&lt;=2,I476&lt;=2),"Emerging","Progressing")))</f>
        <v/>
      </c>
      <c r="K476" s="6" t="str">
        <f aca="false">IF(F476="","",IF(J476="Proficient","Yes","No"))</f>
        <v/>
      </c>
      <c r="L476" s="6" t="str">
        <f aca="false">IF(F476="","",INDEX({"Listening","Speaking","Reading","Writing"},MATCH(MIN(F476:I476),F476:I476,0)))</f>
        <v/>
      </c>
      <c r="M476" s="17"/>
      <c r="N476" s="6" t="str">
        <f aca="false">IF(OR(F476="",M476=""),"",ROUND(AVERAGE(F476:I476)-M476,1))</f>
        <v/>
      </c>
      <c r="O476" s="17"/>
      <c r="P476" s="17"/>
      <c r="Q476" s="17"/>
    </row>
    <row r="477" customFormat="false" ht="15" hidden="false" customHeight="tru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6" t="str">
        <f aca="false">IF(F477="","",IF(AND(F477&gt;=4,G477&gt;=4,H477&gt;=4,I477&gt;=4),"Proficient",IF(AND(F477&lt;=2,G477&lt;=2,H477&lt;=2,I477&lt;=2),"Emerging","Progressing")))</f>
        <v/>
      </c>
      <c r="K477" s="6" t="str">
        <f aca="false">IF(F477="","",IF(J477="Proficient","Yes","No"))</f>
        <v/>
      </c>
      <c r="L477" s="6" t="str">
        <f aca="false">IF(F477="","",INDEX({"Listening","Speaking","Reading","Writing"},MATCH(MIN(F477:I477),F477:I477,0)))</f>
        <v/>
      </c>
      <c r="M477" s="17"/>
      <c r="N477" s="6" t="str">
        <f aca="false">IF(OR(F477="",M477=""),"",ROUND(AVERAGE(F477:I477)-M477,1))</f>
        <v/>
      </c>
      <c r="O477" s="17"/>
      <c r="P477" s="17"/>
      <c r="Q477" s="17"/>
    </row>
    <row r="478" customFormat="false" ht="15" hidden="false" customHeight="tru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6" t="str">
        <f aca="false">IF(F478="","",IF(AND(F478&gt;=4,G478&gt;=4,H478&gt;=4,I478&gt;=4),"Proficient",IF(AND(F478&lt;=2,G478&lt;=2,H478&lt;=2,I478&lt;=2),"Emerging","Progressing")))</f>
        <v/>
      </c>
      <c r="K478" s="6" t="str">
        <f aca="false">IF(F478="","",IF(J478="Proficient","Yes","No"))</f>
        <v/>
      </c>
      <c r="L478" s="6" t="str">
        <f aca="false">IF(F478="","",INDEX({"Listening","Speaking","Reading","Writing"},MATCH(MIN(F478:I478),F478:I478,0)))</f>
        <v/>
      </c>
      <c r="M478" s="17"/>
      <c r="N478" s="6" t="str">
        <f aca="false">IF(OR(F478="",M478=""),"",ROUND(AVERAGE(F478:I478)-M478,1))</f>
        <v/>
      </c>
      <c r="O478" s="17"/>
      <c r="P478" s="17"/>
      <c r="Q478" s="17"/>
    </row>
    <row r="479" customFormat="false" ht="15" hidden="false" customHeight="tru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6" t="str">
        <f aca="false">IF(F479="","",IF(AND(F479&gt;=4,G479&gt;=4,H479&gt;=4,I479&gt;=4),"Proficient",IF(AND(F479&lt;=2,G479&lt;=2,H479&lt;=2,I479&lt;=2),"Emerging","Progressing")))</f>
        <v/>
      </c>
      <c r="K479" s="6" t="str">
        <f aca="false">IF(F479="","",IF(J479="Proficient","Yes","No"))</f>
        <v/>
      </c>
      <c r="L479" s="6" t="str">
        <f aca="false">IF(F479="","",INDEX({"Listening","Speaking","Reading","Writing"},MATCH(MIN(F479:I479),F479:I479,0)))</f>
        <v/>
      </c>
      <c r="M479" s="17"/>
      <c r="N479" s="6" t="str">
        <f aca="false">IF(OR(F479="",M479=""),"",ROUND(AVERAGE(F479:I479)-M479,1))</f>
        <v/>
      </c>
      <c r="O479" s="17"/>
      <c r="P479" s="17"/>
      <c r="Q479" s="17"/>
    </row>
    <row r="480" customFormat="false" ht="15" hidden="false" customHeight="tru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6" t="str">
        <f aca="false">IF(F480="","",IF(AND(F480&gt;=4,G480&gt;=4,H480&gt;=4,I480&gt;=4),"Proficient",IF(AND(F480&lt;=2,G480&lt;=2,H480&lt;=2,I480&lt;=2),"Emerging","Progressing")))</f>
        <v/>
      </c>
      <c r="K480" s="6" t="str">
        <f aca="false">IF(F480="","",IF(J480="Proficient","Yes","No"))</f>
        <v/>
      </c>
      <c r="L480" s="6" t="str">
        <f aca="false">IF(F480="","",INDEX({"Listening","Speaking","Reading","Writing"},MATCH(MIN(F480:I480),F480:I480,0)))</f>
        <v/>
      </c>
      <c r="M480" s="17"/>
      <c r="N480" s="6" t="str">
        <f aca="false">IF(OR(F480="",M480=""),"",ROUND(AVERAGE(F480:I480)-M480,1))</f>
        <v/>
      </c>
      <c r="O480" s="17"/>
      <c r="P480" s="17"/>
      <c r="Q480" s="17"/>
    </row>
    <row r="481" customFormat="false" ht="15" hidden="false" customHeight="tru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6" t="str">
        <f aca="false">IF(F481="","",IF(AND(F481&gt;=4,G481&gt;=4,H481&gt;=4,I481&gt;=4),"Proficient",IF(AND(F481&lt;=2,G481&lt;=2,H481&lt;=2,I481&lt;=2),"Emerging","Progressing")))</f>
        <v/>
      </c>
      <c r="K481" s="6" t="str">
        <f aca="false">IF(F481="","",IF(J481="Proficient","Yes","No"))</f>
        <v/>
      </c>
      <c r="L481" s="6" t="str">
        <f aca="false">IF(F481="","",INDEX({"Listening","Speaking","Reading","Writing"},MATCH(MIN(F481:I481),F481:I481,0)))</f>
        <v/>
      </c>
      <c r="M481" s="17"/>
      <c r="N481" s="6" t="str">
        <f aca="false">IF(OR(F481="",M481=""),"",ROUND(AVERAGE(F481:I481)-M481,1))</f>
        <v/>
      </c>
      <c r="O481" s="17"/>
      <c r="P481" s="17"/>
      <c r="Q481" s="17"/>
    </row>
    <row r="482" customFormat="false" ht="15" hidden="false" customHeight="tru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6" t="str">
        <f aca="false">IF(F482="","",IF(AND(F482&gt;=4,G482&gt;=4,H482&gt;=4,I482&gt;=4),"Proficient",IF(AND(F482&lt;=2,G482&lt;=2,H482&lt;=2,I482&lt;=2),"Emerging","Progressing")))</f>
        <v/>
      </c>
      <c r="K482" s="6" t="str">
        <f aca="false">IF(F482="","",IF(J482="Proficient","Yes","No"))</f>
        <v/>
      </c>
      <c r="L482" s="6" t="str">
        <f aca="false">IF(F482="","",INDEX({"Listening","Speaking","Reading","Writing"},MATCH(MIN(F482:I482),F482:I482,0)))</f>
        <v/>
      </c>
      <c r="M482" s="17"/>
      <c r="N482" s="6" t="str">
        <f aca="false">IF(OR(F482="",M482=""),"",ROUND(AVERAGE(F482:I482)-M482,1))</f>
        <v/>
      </c>
      <c r="O482" s="17"/>
      <c r="P482" s="17"/>
      <c r="Q482" s="17"/>
    </row>
    <row r="483" customFormat="false" ht="15" hidden="false" customHeight="tru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6" t="str">
        <f aca="false">IF(F483="","",IF(AND(F483&gt;=4,G483&gt;=4,H483&gt;=4,I483&gt;=4),"Proficient",IF(AND(F483&lt;=2,G483&lt;=2,H483&lt;=2,I483&lt;=2),"Emerging","Progressing")))</f>
        <v/>
      </c>
      <c r="K483" s="6" t="str">
        <f aca="false">IF(F483="","",IF(J483="Proficient","Yes","No"))</f>
        <v/>
      </c>
      <c r="L483" s="6" t="str">
        <f aca="false">IF(F483="","",INDEX({"Listening","Speaking","Reading","Writing"},MATCH(MIN(F483:I483),F483:I483,0)))</f>
        <v/>
      </c>
      <c r="M483" s="17"/>
      <c r="N483" s="6" t="str">
        <f aca="false">IF(OR(F483="",M483=""),"",ROUND(AVERAGE(F483:I483)-M483,1))</f>
        <v/>
      </c>
      <c r="O483" s="17"/>
      <c r="P483" s="17"/>
      <c r="Q483" s="17"/>
    </row>
    <row r="484" customFormat="false" ht="15" hidden="false" customHeight="tru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6" t="str">
        <f aca="false">IF(F484="","",IF(AND(F484&gt;=4,G484&gt;=4,H484&gt;=4,I484&gt;=4),"Proficient",IF(AND(F484&lt;=2,G484&lt;=2,H484&lt;=2,I484&lt;=2),"Emerging","Progressing")))</f>
        <v/>
      </c>
      <c r="K484" s="6" t="str">
        <f aca="false">IF(F484="","",IF(J484="Proficient","Yes","No"))</f>
        <v/>
      </c>
      <c r="L484" s="6" t="str">
        <f aca="false">IF(F484="","",INDEX({"Listening","Speaking","Reading","Writing"},MATCH(MIN(F484:I484),F484:I484,0)))</f>
        <v/>
      </c>
      <c r="M484" s="17"/>
      <c r="N484" s="6" t="str">
        <f aca="false">IF(OR(F484="",M484=""),"",ROUND(AVERAGE(F484:I484)-M484,1))</f>
        <v/>
      </c>
      <c r="O484" s="17"/>
      <c r="P484" s="17"/>
      <c r="Q484" s="17"/>
    </row>
    <row r="485" customFormat="false" ht="15" hidden="false" customHeight="tru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6" t="str">
        <f aca="false">IF(F485="","",IF(AND(F485&gt;=4,G485&gt;=4,H485&gt;=4,I485&gt;=4),"Proficient",IF(AND(F485&lt;=2,G485&lt;=2,H485&lt;=2,I485&lt;=2),"Emerging","Progressing")))</f>
        <v/>
      </c>
      <c r="K485" s="6" t="str">
        <f aca="false">IF(F485="","",IF(J485="Proficient","Yes","No"))</f>
        <v/>
      </c>
      <c r="L485" s="6" t="str">
        <f aca="false">IF(F485="","",INDEX({"Listening","Speaking","Reading","Writing"},MATCH(MIN(F485:I485),F485:I485,0)))</f>
        <v/>
      </c>
      <c r="M485" s="17"/>
      <c r="N485" s="6" t="str">
        <f aca="false">IF(OR(F485="",M485=""),"",ROUND(AVERAGE(F485:I485)-M485,1))</f>
        <v/>
      </c>
      <c r="O485" s="17"/>
      <c r="P485" s="17"/>
      <c r="Q485" s="17"/>
    </row>
    <row r="486" customFormat="false" ht="15" hidden="false" customHeight="tru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6" t="str">
        <f aca="false">IF(F486="","",IF(AND(F486&gt;=4,G486&gt;=4,H486&gt;=4,I486&gt;=4),"Proficient",IF(AND(F486&lt;=2,G486&lt;=2,H486&lt;=2,I486&lt;=2),"Emerging","Progressing")))</f>
        <v/>
      </c>
      <c r="K486" s="6" t="str">
        <f aca="false">IF(F486="","",IF(J486="Proficient","Yes","No"))</f>
        <v/>
      </c>
      <c r="L486" s="6" t="str">
        <f aca="false">IF(F486="","",INDEX({"Listening","Speaking","Reading","Writing"},MATCH(MIN(F486:I486),F486:I486,0)))</f>
        <v/>
      </c>
      <c r="M486" s="17"/>
      <c r="N486" s="6" t="str">
        <f aca="false">IF(OR(F486="",M486=""),"",ROUND(AVERAGE(F486:I486)-M486,1))</f>
        <v/>
      </c>
      <c r="O486" s="17"/>
      <c r="P486" s="17"/>
      <c r="Q486" s="17"/>
    </row>
    <row r="487" customFormat="false" ht="15" hidden="false" customHeight="tru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6" t="str">
        <f aca="false">IF(F487="","",IF(AND(F487&gt;=4,G487&gt;=4,H487&gt;=4,I487&gt;=4),"Proficient",IF(AND(F487&lt;=2,G487&lt;=2,H487&lt;=2,I487&lt;=2),"Emerging","Progressing")))</f>
        <v/>
      </c>
      <c r="K487" s="6" t="str">
        <f aca="false">IF(F487="","",IF(J487="Proficient","Yes","No"))</f>
        <v/>
      </c>
      <c r="L487" s="6" t="str">
        <f aca="false">IF(F487="","",INDEX({"Listening","Speaking","Reading","Writing"},MATCH(MIN(F487:I487),F487:I487,0)))</f>
        <v/>
      </c>
      <c r="M487" s="17"/>
      <c r="N487" s="6" t="str">
        <f aca="false">IF(OR(F487="",M487=""),"",ROUND(AVERAGE(F487:I487)-M487,1))</f>
        <v/>
      </c>
      <c r="O487" s="17"/>
      <c r="P487" s="17"/>
      <c r="Q487" s="17"/>
    </row>
    <row r="488" customFormat="false" ht="15" hidden="false" customHeight="tru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6" t="str">
        <f aca="false">IF(F488="","",IF(AND(F488&gt;=4,G488&gt;=4,H488&gt;=4,I488&gt;=4),"Proficient",IF(AND(F488&lt;=2,G488&lt;=2,H488&lt;=2,I488&lt;=2),"Emerging","Progressing")))</f>
        <v/>
      </c>
      <c r="K488" s="6" t="str">
        <f aca="false">IF(F488="","",IF(J488="Proficient","Yes","No"))</f>
        <v/>
      </c>
      <c r="L488" s="6" t="str">
        <f aca="false">IF(F488="","",INDEX({"Listening","Speaking","Reading","Writing"},MATCH(MIN(F488:I488),F488:I488,0)))</f>
        <v/>
      </c>
      <c r="M488" s="17"/>
      <c r="N488" s="6" t="str">
        <f aca="false">IF(OR(F488="",M488=""),"",ROUND(AVERAGE(F488:I488)-M488,1))</f>
        <v/>
      </c>
      <c r="O488" s="17"/>
      <c r="P488" s="17"/>
      <c r="Q488" s="17"/>
    </row>
    <row r="489" customFormat="false" ht="15" hidden="false" customHeight="tru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6" t="str">
        <f aca="false">IF(F489="","",IF(AND(F489&gt;=4,G489&gt;=4,H489&gt;=4,I489&gt;=4),"Proficient",IF(AND(F489&lt;=2,G489&lt;=2,H489&lt;=2,I489&lt;=2),"Emerging","Progressing")))</f>
        <v/>
      </c>
      <c r="K489" s="6" t="str">
        <f aca="false">IF(F489="","",IF(J489="Proficient","Yes","No"))</f>
        <v/>
      </c>
      <c r="L489" s="6" t="str">
        <f aca="false">IF(F489="","",INDEX({"Listening","Speaking","Reading","Writing"},MATCH(MIN(F489:I489),F489:I489,0)))</f>
        <v/>
      </c>
      <c r="M489" s="17"/>
      <c r="N489" s="6" t="str">
        <f aca="false">IF(OR(F489="",M489=""),"",ROUND(AVERAGE(F489:I489)-M489,1))</f>
        <v/>
      </c>
      <c r="O489" s="17"/>
      <c r="P489" s="17"/>
      <c r="Q489" s="17"/>
    </row>
    <row r="490" customFormat="false" ht="15" hidden="false" customHeight="tru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6" t="str">
        <f aca="false">IF(F490="","",IF(AND(F490&gt;=4,G490&gt;=4,H490&gt;=4,I490&gt;=4),"Proficient",IF(AND(F490&lt;=2,G490&lt;=2,H490&lt;=2,I490&lt;=2),"Emerging","Progressing")))</f>
        <v/>
      </c>
      <c r="K490" s="6" t="str">
        <f aca="false">IF(F490="","",IF(J490="Proficient","Yes","No"))</f>
        <v/>
      </c>
      <c r="L490" s="6" t="str">
        <f aca="false">IF(F490="","",INDEX({"Listening","Speaking","Reading","Writing"},MATCH(MIN(F490:I490),F490:I490,0)))</f>
        <v/>
      </c>
      <c r="M490" s="17"/>
      <c r="N490" s="6" t="str">
        <f aca="false">IF(OR(F490="",M490=""),"",ROUND(AVERAGE(F490:I490)-M490,1))</f>
        <v/>
      </c>
      <c r="O490" s="17"/>
      <c r="P490" s="17"/>
      <c r="Q490" s="17"/>
    </row>
    <row r="491" customFormat="false" ht="15" hidden="false" customHeight="tru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6" t="str">
        <f aca="false">IF(F491="","",IF(AND(F491&gt;=4,G491&gt;=4,H491&gt;=4,I491&gt;=4),"Proficient",IF(AND(F491&lt;=2,G491&lt;=2,H491&lt;=2,I491&lt;=2),"Emerging","Progressing")))</f>
        <v/>
      </c>
      <c r="K491" s="6" t="str">
        <f aca="false">IF(F491="","",IF(J491="Proficient","Yes","No"))</f>
        <v/>
      </c>
      <c r="L491" s="6" t="str">
        <f aca="false">IF(F491="","",INDEX({"Listening","Speaking","Reading","Writing"},MATCH(MIN(F491:I491),F491:I491,0)))</f>
        <v/>
      </c>
      <c r="M491" s="17"/>
      <c r="N491" s="6" t="str">
        <f aca="false">IF(OR(F491="",M491=""),"",ROUND(AVERAGE(F491:I491)-M491,1))</f>
        <v/>
      </c>
      <c r="O491" s="17"/>
      <c r="P491" s="17"/>
      <c r="Q491" s="17"/>
    </row>
    <row r="492" customFormat="false" ht="15" hidden="false" customHeight="tru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6" t="str">
        <f aca="false">IF(F492="","",IF(AND(F492&gt;=4,G492&gt;=4,H492&gt;=4,I492&gt;=4),"Proficient",IF(AND(F492&lt;=2,G492&lt;=2,H492&lt;=2,I492&lt;=2),"Emerging","Progressing")))</f>
        <v/>
      </c>
      <c r="K492" s="6" t="str">
        <f aca="false">IF(F492="","",IF(J492="Proficient","Yes","No"))</f>
        <v/>
      </c>
      <c r="L492" s="6" t="str">
        <f aca="false">IF(F492="","",INDEX({"Listening","Speaking","Reading","Writing"},MATCH(MIN(F492:I492),F492:I492,0)))</f>
        <v/>
      </c>
      <c r="M492" s="17"/>
      <c r="N492" s="6" t="str">
        <f aca="false">IF(OR(F492="",M492=""),"",ROUND(AVERAGE(F492:I492)-M492,1))</f>
        <v/>
      </c>
      <c r="O492" s="17"/>
      <c r="P492" s="17"/>
      <c r="Q492" s="17"/>
    </row>
    <row r="493" customFormat="false" ht="15" hidden="false" customHeight="tru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6" t="str">
        <f aca="false">IF(F493="","",IF(AND(F493&gt;=4,G493&gt;=4,H493&gt;=4,I493&gt;=4),"Proficient",IF(AND(F493&lt;=2,G493&lt;=2,H493&lt;=2,I493&lt;=2),"Emerging","Progressing")))</f>
        <v/>
      </c>
      <c r="K493" s="6" t="str">
        <f aca="false">IF(F493="","",IF(J493="Proficient","Yes","No"))</f>
        <v/>
      </c>
      <c r="L493" s="6" t="str">
        <f aca="false">IF(F493="","",INDEX({"Listening","Speaking","Reading","Writing"},MATCH(MIN(F493:I493),F493:I493,0)))</f>
        <v/>
      </c>
      <c r="M493" s="17"/>
      <c r="N493" s="6" t="str">
        <f aca="false">IF(OR(F493="",M493=""),"",ROUND(AVERAGE(F493:I493)-M493,1))</f>
        <v/>
      </c>
      <c r="O493" s="17"/>
      <c r="P493" s="17"/>
      <c r="Q493" s="17"/>
    </row>
    <row r="494" customFormat="false" ht="15" hidden="false" customHeight="tru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6" t="str">
        <f aca="false">IF(F494="","",IF(AND(F494&gt;=4,G494&gt;=4,H494&gt;=4,I494&gt;=4),"Proficient",IF(AND(F494&lt;=2,G494&lt;=2,H494&lt;=2,I494&lt;=2),"Emerging","Progressing")))</f>
        <v/>
      </c>
      <c r="K494" s="6" t="str">
        <f aca="false">IF(F494="","",IF(J494="Proficient","Yes","No"))</f>
        <v/>
      </c>
      <c r="L494" s="6" t="str">
        <f aca="false">IF(F494="","",INDEX({"Listening","Speaking","Reading","Writing"},MATCH(MIN(F494:I494),F494:I494,0)))</f>
        <v/>
      </c>
      <c r="M494" s="17"/>
      <c r="N494" s="6" t="str">
        <f aca="false">IF(OR(F494="",M494=""),"",ROUND(AVERAGE(F494:I494)-M494,1))</f>
        <v/>
      </c>
      <c r="O494" s="17"/>
      <c r="P494" s="17"/>
      <c r="Q494" s="17"/>
    </row>
    <row r="495" customFormat="false" ht="15" hidden="false" customHeight="tru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6" t="str">
        <f aca="false">IF(F495="","",IF(AND(F495&gt;=4,G495&gt;=4,H495&gt;=4,I495&gt;=4),"Proficient",IF(AND(F495&lt;=2,G495&lt;=2,H495&lt;=2,I495&lt;=2),"Emerging","Progressing")))</f>
        <v/>
      </c>
      <c r="K495" s="6" t="str">
        <f aca="false">IF(F495="","",IF(J495="Proficient","Yes","No"))</f>
        <v/>
      </c>
      <c r="L495" s="6" t="str">
        <f aca="false">IF(F495="","",INDEX({"Listening","Speaking","Reading","Writing"},MATCH(MIN(F495:I495),F495:I495,0)))</f>
        <v/>
      </c>
      <c r="M495" s="17"/>
      <c r="N495" s="6" t="str">
        <f aca="false">IF(OR(F495="",M495=""),"",ROUND(AVERAGE(F495:I495)-M495,1))</f>
        <v/>
      </c>
      <c r="O495" s="17"/>
      <c r="P495" s="17"/>
      <c r="Q495" s="17"/>
    </row>
    <row r="496" customFormat="false" ht="15" hidden="false" customHeight="tru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6" t="str">
        <f aca="false">IF(F496="","",IF(AND(F496&gt;=4,G496&gt;=4,H496&gt;=4,I496&gt;=4),"Proficient",IF(AND(F496&lt;=2,G496&lt;=2,H496&lt;=2,I496&lt;=2),"Emerging","Progressing")))</f>
        <v/>
      </c>
      <c r="K496" s="6" t="str">
        <f aca="false">IF(F496="","",IF(J496="Proficient","Yes","No"))</f>
        <v/>
      </c>
      <c r="L496" s="6" t="str">
        <f aca="false">IF(F496="","",INDEX({"Listening","Speaking","Reading","Writing"},MATCH(MIN(F496:I496),F496:I496,0)))</f>
        <v/>
      </c>
      <c r="M496" s="17"/>
      <c r="N496" s="6" t="str">
        <f aca="false">IF(OR(F496="",M496=""),"",ROUND(AVERAGE(F496:I496)-M496,1))</f>
        <v/>
      </c>
      <c r="O496" s="17"/>
      <c r="P496" s="17"/>
      <c r="Q496" s="17"/>
    </row>
    <row r="497" customFormat="false" ht="15" hidden="false" customHeight="tru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6" t="str">
        <f aca="false">IF(F497="","",IF(AND(F497&gt;=4,G497&gt;=4,H497&gt;=4,I497&gt;=4),"Proficient",IF(AND(F497&lt;=2,G497&lt;=2,H497&lt;=2,I497&lt;=2),"Emerging","Progressing")))</f>
        <v/>
      </c>
      <c r="K497" s="6" t="str">
        <f aca="false">IF(F497="","",IF(J497="Proficient","Yes","No"))</f>
        <v/>
      </c>
      <c r="L497" s="6" t="str">
        <f aca="false">IF(F497="","",INDEX({"Listening","Speaking","Reading","Writing"},MATCH(MIN(F497:I497),F497:I497,0)))</f>
        <v/>
      </c>
      <c r="M497" s="17"/>
      <c r="N497" s="6" t="str">
        <f aca="false">IF(OR(F497="",M497=""),"",ROUND(AVERAGE(F497:I497)-M497,1))</f>
        <v/>
      </c>
      <c r="O497" s="17"/>
      <c r="P497" s="17"/>
      <c r="Q497" s="17"/>
    </row>
    <row r="498" customFormat="false" ht="15" hidden="false" customHeight="tru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6" t="str">
        <f aca="false">IF(F498="","",IF(AND(F498&gt;=4,G498&gt;=4,H498&gt;=4,I498&gt;=4),"Proficient",IF(AND(F498&lt;=2,G498&lt;=2,H498&lt;=2,I498&lt;=2),"Emerging","Progressing")))</f>
        <v/>
      </c>
      <c r="K498" s="6" t="str">
        <f aca="false">IF(F498="","",IF(J498="Proficient","Yes","No"))</f>
        <v/>
      </c>
      <c r="L498" s="6" t="str">
        <f aca="false">IF(F498="","",INDEX({"Listening","Speaking","Reading","Writing"},MATCH(MIN(F498:I498),F498:I498,0)))</f>
        <v/>
      </c>
      <c r="M498" s="17"/>
      <c r="N498" s="6" t="str">
        <f aca="false">IF(OR(F498="",M498=""),"",ROUND(AVERAGE(F498:I498)-M498,1))</f>
        <v/>
      </c>
      <c r="O498" s="17"/>
      <c r="P498" s="17"/>
      <c r="Q498" s="17"/>
    </row>
    <row r="499" customFormat="false" ht="15" hidden="false" customHeight="tru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6" t="str">
        <f aca="false">IF(F499="","",IF(AND(F499&gt;=4,G499&gt;=4,H499&gt;=4,I499&gt;=4),"Proficient",IF(AND(F499&lt;=2,G499&lt;=2,H499&lt;=2,I499&lt;=2),"Emerging","Progressing")))</f>
        <v/>
      </c>
      <c r="K499" s="6" t="str">
        <f aca="false">IF(F499="","",IF(J499="Proficient","Yes","No"))</f>
        <v/>
      </c>
      <c r="L499" s="6" t="str">
        <f aca="false">IF(F499="","",INDEX({"Listening","Speaking","Reading","Writing"},MATCH(MIN(F499:I499),F499:I499,0)))</f>
        <v/>
      </c>
      <c r="M499" s="17"/>
      <c r="N499" s="6" t="str">
        <f aca="false">IF(OR(F499="",M499=""),"",ROUND(AVERAGE(F499:I499)-M499,1))</f>
        <v/>
      </c>
      <c r="O499" s="17"/>
      <c r="P499" s="17"/>
      <c r="Q499" s="17"/>
    </row>
    <row r="500" customFormat="false" ht="15" hidden="false" customHeight="tru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6" t="str">
        <f aca="false">IF(F500="","",IF(AND(F500&gt;=4,G500&gt;=4,H500&gt;=4,I500&gt;=4),"Proficient",IF(AND(F500&lt;=2,G500&lt;=2,H500&lt;=2,I500&lt;=2),"Emerging","Progressing")))</f>
        <v/>
      </c>
      <c r="K500" s="6" t="str">
        <f aca="false">IF(F500="","",IF(J500="Proficient","Yes","No"))</f>
        <v/>
      </c>
      <c r="L500" s="6" t="str">
        <f aca="false">IF(F500="","",INDEX({"Listening","Speaking","Reading","Writing"},MATCH(MIN(F500:I500),F500:I500,0)))</f>
        <v/>
      </c>
      <c r="M500" s="17"/>
      <c r="N500" s="6" t="str">
        <f aca="false">IF(OR(F500="",M500=""),"",ROUND(AVERAGE(F500:I500)-M500,1))</f>
        <v/>
      </c>
      <c r="O500" s="17"/>
      <c r="P500" s="17"/>
      <c r="Q500" s="17"/>
    </row>
    <row r="501" customFormat="false" ht="15" hidden="false" customHeight="tru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6" t="str">
        <f aca="false">IF(F501="","",IF(AND(F501&gt;=4,G501&gt;=4,H501&gt;=4,I501&gt;=4),"Proficient",IF(AND(F501&lt;=2,G501&lt;=2,H501&lt;=2,I501&lt;=2),"Emerging","Progressing")))</f>
        <v/>
      </c>
      <c r="K501" s="6" t="str">
        <f aca="false">IF(F501="","",IF(J501="Proficient","Yes","No"))</f>
        <v/>
      </c>
      <c r="L501" s="6" t="str">
        <f aca="false">IF(F501="","",INDEX({"Listening","Speaking","Reading","Writing"},MATCH(MIN(F501:I501),F501:I501,0)))</f>
        <v/>
      </c>
      <c r="M501" s="17"/>
      <c r="N501" s="6" t="str">
        <f aca="false">IF(OR(F501="",M501=""),"",ROUND(AVERAGE(F501:I501)-M501,1))</f>
        <v/>
      </c>
      <c r="O501" s="17"/>
      <c r="P501" s="17"/>
      <c r="Q501" s="17"/>
    </row>
    <row r="502" customFormat="false" ht="15" hidden="false" customHeight="tru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6" t="str">
        <f aca="false">IF(F502="","",IF(AND(F502&gt;=4,G502&gt;=4,H502&gt;=4,I502&gt;=4),"Proficient",IF(AND(F502&lt;=2,G502&lt;=2,H502&lt;=2,I502&lt;=2),"Emerging","Progressing")))</f>
        <v/>
      </c>
      <c r="K502" s="6" t="str">
        <f aca="false">IF(F502="","",IF(J502="Proficient","Yes","No"))</f>
        <v/>
      </c>
      <c r="L502" s="6" t="str">
        <f aca="false">IF(F502="","",INDEX({"Listening","Speaking","Reading","Writing"},MATCH(MIN(F502:I502),F502:I502,0)))</f>
        <v/>
      </c>
      <c r="M502" s="17"/>
      <c r="N502" s="6" t="str">
        <f aca="false">IF(OR(F502="",M502=""),"",ROUND(AVERAGE(F502:I502)-M502,1))</f>
        <v/>
      </c>
      <c r="O502" s="17"/>
      <c r="P502" s="17"/>
      <c r="Q502" s="17"/>
    </row>
    <row r="503" customFormat="false" ht="15" hidden="false" customHeight="tru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6" t="str">
        <f aca="false">IF(F503="","",IF(AND(F503&gt;=4,G503&gt;=4,H503&gt;=4,I503&gt;=4),"Proficient",IF(AND(F503&lt;=2,G503&lt;=2,H503&lt;=2,I503&lt;=2),"Emerging","Progressing")))</f>
        <v/>
      </c>
      <c r="K503" s="6" t="str">
        <f aca="false">IF(F503="","",IF(J503="Proficient","Yes","No"))</f>
        <v/>
      </c>
      <c r="L503" s="6" t="str">
        <f aca="false">IF(F503="","",INDEX({"Listening","Speaking","Reading","Writing"},MATCH(MIN(F503:I503),F503:I503,0)))</f>
        <v/>
      </c>
      <c r="M503" s="17"/>
      <c r="N503" s="6" t="str">
        <f aca="false">IF(OR(F503="",M503=""),"",ROUND(AVERAGE(F503:I503)-M503,1))</f>
        <v/>
      </c>
      <c r="O503" s="17"/>
      <c r="P503" s="17"/>
      <c r="Q503" s="17"/>
    </row>
    <row r="504" customFormat="false" ht="15" hidden="false" customHeight="true" outlineLevel="0" collapsed="false">
      <c r="A504" s="17"/>
      <c r="B504" s="17"/>
      <c r="C504" s="17"/>
      <c r="D504" s="17"/>
      <c r="E504" s="17"/>
      <c r="F504" s="17"/>
      <c r="G504" s="17"/>
      <c r="H504" s="17"/>
      <c r="I504" s="17"/>
      <c r="J504" s="6" t="str">
        <f aca="false">IF(F504="","",IF(AND(F504&gt;=4,G504&gt;=4,H504&gt;=4,I504&gt;=4),"Proficient",IF(AND(F504&lt;=2,G504&lt;=2,H504&lt;=2,I504&lt;=2),"Emerging","Progressing")))</f>
        <v/>
      </c>
      <c r="K504" s="6" t="str">
        <f aca="false">IF(F504="","",IF(J504="Proficient","Yes","No"))</f>
        <v/>
      </c>
      <c r="L504" s="6" t="str">
        <f aca="false">IF(F504="","",INDEX({"Listening","Speaking","Reading","Writing"},MATCH(MIN(F504:I504),F504:I504,0)))</f>
        <v/>
      </c>
      <c r="M504" s="17"/>
      <c r="N504" s="6" t="str">
        <f aca="false">IF(OR(F504="",M504=""),"",ROUND(AVERAGE(F504:I504)-M504,1))</f>
        <v/>
      </c>
      <c r="O504" s="17"/>
      <c r="P504" s="17"/>
      <c r="Q504" s="17"/>
    </row>
    <row r="505" customFormat="false" ht="15" hidden="false" customHeight="true" outlineLevel="0" collapsed="false">
      <c r="A505" s="17"/>
      <c r="B505" s="17"/>
      <c r="C505" s="17"/>
      <c r="D505" s="17"/>
      <c r="E505" s="17"/>
      <c r="F505" s="17"/>
      <c r="G505" s="17"/>
      <c r="H505" s="17"/>
      <c r="I505" s="17"/>
      <c r="J505" s="6" t="str">
        <f aca="false">IF(F505="","",IF(AND(F505&gt;=4,G505&gt;=4,H505&gt;=4,I505&gt;=4),"Proficient",IF(AND(F505&lt;=2,G505&lt;=2,H505&lt;=2,I505&lt;=2),"Emerging","Progressing")))</f>
        <v/>
      </c>
      <c r="K505" s="6" t="str">
        <f aca="false">IF(F505="","",IF(J505="Proficient","Yes","No"))</f>
        <v/>
      </c>
      <c r="L505" s="6" t="str">
        <f aca="false">IF(F505="","",INDEX({"Listening","Speaking","Reading","Writing"},MATCH(MIN(F505:I505),F505:I505,0)))</f>
        <v/>
      </c>
      <c r="M505" s="17"/>
      <c r="N505" s="6" t="str">
        <f aca="false">IF(OR(F505="",M505=""),"",ROUND(AVERAGE(F505:I505)-M505,1))</f>
        <v/>
      </c>
      <c r="O505" s="17"/>
      <c r="P505" s="17"/>
      <c r="Q505" s="17"/>
    </row>
    <row r="506" customFormat="false" ht="15" hidden="false" customHeight="true" outlineLevel="0" collapsed="false">
      <c r="A506" s="17"/>
      <c r="B506" s="17"/>
      <c r="C506" s="17"/>
      <c r="D506" s="17"/>
      <c r="E506" s="17"/>
      <c r="F506" s="17"/>
      <c r="G506" s="17"/>
      <c r="H506" s="17"/>
      <c r="I506" s="17"/>
      <c r="J506" s="6" t="str">
        <f aca="false">IF(F506="","",IF(AND(F506&gt;=4,G506&gt;=4,H506&gt;=4,I506&gt;=4),"Proficient",IF(AND(F506&lt;=2,G506&lt;=2,H506&lt;=2,I506&lt;=2),"Emerging","Progressing")))</f>
        <v/>
      </c>
      <c r="K506" s="6" t="str">
        <f aca="false">IF(F506="","",IF(J506="Proficient","Yes","No"))</f>
        <v/>
      </c>
      <c r="L506" s="6" t="str">
        <f aca="false">IF(F506="","",INDEX({"Listening","Speaking","Reading","Writing"},MATCH(MIN(F506:I506),F506:I506,0)))</f>
        <v/>
      </c>
      <c r="M506" s="17"/>
      <c r="N506" s="6" t="str">
        <f aca="false">IF(OR(F506="",M506=""),"",ROUND(AVERAGE(F506:I506)-M506,1))</f>
        <v/>
      </c>
      <c r="O506" s="17"/>
      <c r="P506" s="17"/>
      <c r="Q506" s="17"/>
    </row>
    <row r="507" customFormat="false" ht="15" hidden="false" customHeight="true" outlineLevel="0" collapsed="false">
      <c r="A507" s="17"/>
      <c r="B507" s="17"/>
      <c r="C507" s="17"/>
      <c r="D507" s="17"/>
      <c r="E507" s="17"/>
      <c r="F507" s="17"/>
      <c r="G507" s="17"/>
      <c r="H507" s="17"/>
      <c r="I507" s="17"/>
      <c r="J507" s="6" t="str">
        <f aca="false">IF(F507="","",IF(AND(F507&gt;=4,G507&gt;=4,H507&gt;=4,I507&gt;=4),"Proficient",IF(AND(F507&lt;=2,G507&lt;=2,H507&lt;=2,I507&lt;=2),"Emerging","Progressing")))</f>
        <v/>
      </c>
      <c r="K507" s="6" t="str">
        <f aca="false">IF(F507="","",IF(J507="Proficient","Yes","No"))</f>
        <v/>
      </c>
      <c r="L507" s="6" t="str">
        <f aca="false">IF(F507="","",INDEX({"Listening","Speaking","Reading","Writing"},MATCH(MIN(F507:I507),F507:I507,0)))</f>
        <v/>
      </c>
      <c r="M507" s="17"/>
      <c r="N507" s="6" t="str">
        <f aca="false">IF(OR(F507="",M507=""),"",ROUND(AVERAGE(F507:I507)-M507,1))</f>
        <v/>
      </c>
      <c r="O507" s="17"/>
      <c r="P507" s="17"/>
      <c r="Q507" s="17"/>
    </row>
    <row r="508" customFormat="false" ht="15" hidden="false" customHeight="true" outlineLevel="0" collapsed="false">
      <c r="A508" s="17"/>
      <c r="B508" s="17"/>
      <c r="C508" s="17"/>
      <c r="D508" s="17"/>
      <c r="E508" s="17"/>
      <c r="F508" s="17"/>
      <c r="G508" s="17"/>
      <c r="H508" s="17"/>
      <c r="I508" s="17"/>
      <c r="J508" s="6" t="str">
        <f aca="false">IF(F508="","",IF(AND(F508&gt;=4,G508&gt;=4,H508&gt;=4,I508&gt;=4),"Proficient",IF(AND(F508&lt;=2,G508&lt;=2,H508&lt;=2,I508&lt;=2),"Emerging","Progressing")))</f>
        <v/>
      </c>
      <c r="K508" s="6" t="str">
        <f aca="false">IF(F508="","",IF(J508="Proficient","Yes","No"))</f>
        <v/>
      </c>
      <c r="L508" s="6" t="str">
        <f aca="false">IF(F508="","",INDEX({"Listening","Speaking","Reading","Writing"},MATCH(MIN(F508:I508),F508:I508,0)))</f>
        <v/>
      </c>
      <c r="M508" s="17"/>
      <c r="N508" s="6" t="str">
        <f aca="false">IF(OR(F508="",M508=""),"",ROUND(AVERAGE(F508:I508)-M508,1))</f>
        <v/>
      </c>
      <c r="O508" s="17"/>
      <c r="P508" s="17"/>
      <c r="Q508" s="17"/>
    </row>
    <row r="509" customFormat="false" ht="15" hidden="false" customHeight="true" outlineLevel="0" collapsed="false">
      <c r="A509" s="17"/>
      <c r="B509" s="17"/>
      <c r="C509" s="17"/>
      <c r="D509" s="17"/>
      <c r="E509" s="17"/>
      <c r="F509" s="17"/>
      <c r="G509" s="17"/>
      <c r="H509" s="17"/>
      <c r="I509" s="17"/>
      <c r="J509" s="6" t="str">
        <f aca="false">IF(F509="","",IF(AND(F509&gt;=4,G509&gt;=4,H509&gt;=4,I509&gt;=4),"Proficient",IF(AND(F509&lt;=2,G509&lt;=2,H509&lt;=2,I509&lt;=2),"Emerging","Progressing")))</f>
        <v/>
      </c>
      <c r="K509" s="6" t="str">
        <f aca="false">IF(F509="","",IF(J509="Proficient","Yes","No"))</f>
        <v/>
      </c>
      <c r="L509" s="6" t="str">
        <f aca="false">IF(F509="","",INDEX({"Listening","Speaking","Reading","Writing"},MATCH(MIN(F509:I509),F509:I509,0)))</f>
        <v/>
      </c>
      <c r="M509" s="17"/>
      <c r="N509" s="6" t="str">
        <f aca="false">IF(OR(F509="",M509=""),"",ROUND(AVERAGE(F509:I509)-M509,1))</f>
        <v/>
      </c>
      <c r="O509" s="17"/>
      <c r="P509" s="17"/>
      <c r="Q509" s="17"/>
    </row>
    <row r="510" customFormat="false" ht="15" hidden="false" customHeight="true" outlineLevel="0" collapsed="false">
      <c r="A510" s="17"/>
      <c r="B510" s="17"/>
      <c r="C510" s="17"/>
      <c r="D510" s="17"/>
      <c r="E510" s="17"/>
      <c r="F510" s="17"/>
      <c r="G510" s="17"/>
      <c r="H510" s="17"/>
      <c r="I510" s="17"/>
      <c r="J510" s="6" t="str">
        <f aca="false">IF(F510="","",IF(AND(F510&gt;=4,G510&gt;=4,H510&gt;=4,I510&gt;=4),"Proficient",IF(AND(F510&lt;=2,G510&lt;=2,H510&lt;=2,I510&lt;=2),"Emerging","Progressing")))</f>
        <v/>
      </c>
      <c r="K510" s="6" t="str">
        <f aca="false">IF(F510="","",IF(J510="Proficient","Yes","No"))</f>
        <v/>
      </c>
      <c r="L510" s="6" t="str">
        <f aca="false">IF(F510="","",INDEX({"Listening","Speaking","Reading","Writing"},MATCH(MIN(F510:I510),F510:I510,0)))</f>
        <v/>
      </c>
      <c r="M510" s="17"/>
      <c r="N510" s="6" t="str">
        <f aca="false">IF(OR(F510="",M510=""),"",ROUND(AVERAGE(F510:I510)-M510,1))</f>
        <v/>
      </c>
      <c r="O510" s="17"/>
      <c r="P510" s="17"/>
      <c r="Q510" s="17"/>
    </row>
    <row r="511" customFormat="false" ht="15" hidden="false" customHeight="true" outlineLevel="0" collapsed="false">
      <c r="A511" s="17"/>
      <c r="B511" s="17"/>
      <c r="C511" s="17"/>
      <c r="D511" s="17"/>
      <c r="E511" s="17"/>
      <c r="F511" s="17"/>
      <c r="G511" s="17"/>
      <c r="H511" s="17"/>
      <c r="I511" s="17"/>
      <c r="J511" s="6" t="str">
        <f aca="false">IF(F511="","",IF(AND(F511&gt;=4,G511&gt;=4,H511&gt;=4,I511&gt;=4),"Proficient",IF(AND(F511&lt;=2,G511&lt;=2,H511&lt;=2,I511&lt;=2),"Emerging","Progressing")))</f>
        <v/>
      </c>
      <c r="K511" s="6" t="str">
        <f aca="false">IF(F511="","",IF(J511="Proficient","Yes","No"))</f>
        <v/>
      </c>
      <c r="L511" s="6" t="str">
        <f aca="false">IF(F511="","",INDEX({"Listening","Speaking","Reading","Writing"},MATCH(MIN(F511:I511),F511:I511,0)))</f>
        <v/>
      </c>
      <c r="M511" s="17"/>
      <c r="N511" s="6" t="str">
        <f aca="false">IF(OR(F511="",M511=""),"",ROUND(AVERAGE(F511:I511)-M511,1))</f>
        <v/>
      </c>
      <c r="O511" s="17"/>
      <c r="P511" s="17"/>
      <c r="Q511" s="17"/>
    </row>
    <row r="512" customFormat="false" ht="15" hidden="false" customHeight="true" outlineLevel="0" collapsed="false">
      <c r="A512" s="17"/>
      <c r="B512" s="17"/>
      <c r="C512" s="17"/>
      <c r="D512" s="17"/>
      <c r="E512" s="17"/>
      <c r="F512" s="17"/>
      <c r="G512" s="17"/>
      <c r="H512" s="17"/>
      <c r="I512" s="17"/>
      <c r="J512" s="6" t="str">
        <f aca="false">IF(F512="","",IF(AND(F512&gt;=4,G512&gt;=4,H512&gt;=4,I512&gt;=4),"Proficient",IF(AND(F512&lt;=2,G512&lt;=2,H512&lt;=2,I512&lt;=2),"Emerging","Progressing")))</f>
        <v/>
      </c>
      <c r="K512" s="6" t="str">
        <f aca="false">IF(F512="","",IF(J512="Proficient","Yes","No"))</f>
        <v/>
      </c>
      <c r="L512" s="6" t="str">
        <f aca="false">IF(F512="","",INDEX({"Listening","Speaking","Reading","Writing"},MATCH(MIN(F512:I512),F512:I512,0)))</f>
        <v/>
      </c>
      <c r="M512" s="17"/>
      <c r="N512" s="6" t="str">
        <f aca="false">IF(OR(F512="",M512=""),"",ROUND(AVERAGE(F512:I512)-M512,1))</f>
        <v/>
      </c>
      <c r="O512" s="17"/>
      <c r="P512" s="17"/>
      <c r="Q512" s="17"/>
    </row>
    <row r="513" customFormat="false" ht="15" hidden="false" customHeight="true" outlineLevel="0" collapsed="false">
      <c r="A513" s="17"/>
      <c r="B513" s="17"/>
      <c r="C513" s="17"/>
      <c r="D513" s="17"/>
      <c r="E513" s="17"/>
      <c r="F513" s="17"/>
      <c r="G513" s="17"/>
      <c r="H513" s="17"/>
      <c r="I513" s="17"/>
      <c r="J513" s="6" t="str">
        <f aca="false">IF(F513="","",IF(AND(F513&gt;=4,G513&gt;=4,H513&gt;=4,I513&gt;=4),"Proficient",IF(AND(F513&lt;=2,G513&lt;=2,H513&lt;=2,I513&lt;=2),"Emerging","Progressing")))</f>
        <v/>
      </c>
      <c r="K513" s="6" t="str">
        <f aca="false">IF(F513="","",IF(J513="Proficient","Yes","No"))</f>
        <v/>
      </c>
      <c r="L513" s="6" t="str">
        <f aca="false">IF(F513="","",INDEX({"Listening","Speaking","Reading","Writing"},MATCH(MIN(F513:I513),F513:I513,0)))</f>
        <v/>
      </c>
      <c r="M513" s="17"/>
      <c r="N513" s="6" t="str">
        <f aca="false">IF(OR(F513="",M513=""),"",ROUND(AVERAGE(F513:I513)-M513,1))</f>
        <v/>
      </c>
      <c r="O513" s="17"/>
      <c r="P513" s="17"/>
      <c r="Q513" s="17"/>
    </row>
    <row r="514" customFormat="false" ht="15" hidden="false" customHeight="true" outlineLevel="0" collapsed="false">
      <c r="A514" s="17"/>
      <c r="B514" s="17"/>
      <c r="C514" s="17"/>
      <c r="D514" s="17"/>
      <c r="E514" s="17"/>
      <c r="F514" s="17"/>
      <c r="G514" s="17"/>
      <c r="H514" s="17"/>
      <c r="I514" s="17"/>
      <c r="J514" s="6" t="str">
        <f aca="false">IF(F514="","",IF(AND(F514&gt;=4,G514&gt;=4,H514&gt;=4,I514&gt;=4),"Proficient",IF(AND(F514&lt;=2,G514&lt;=2,H514&lt;=2,I514&lt;=2),"Emerging","Progressing")))</f>
        <v/>
      </c>
      <c r="K514" s="6" t="str">
        <f aca="false">IF(F514="","",IF(J514="Proficient","Yes","No"))</f>
        <v/>
      </c>
      <c r="L514" s="6" t="str">
        <f aca="false">IF(F514="","",INDEX({"Listening","Speaking","Reading","Writing"},MATCH(MIN(F514:I514),F514:I514,0)))</f>
        <v/>
      </c>
      <c r="M514" s="17"/>
      <c r="N514" s="6" t="str">
        <f aca="false">IF(OR(F514="",M514=""),"",ROUND(AVERAGE(F514:I514)-M514,1))</f>
        <v/>
      </c>
      <c r="O514" s="17"/>
      <c r="P514" s="17"/>
      <c r="Q514" s="17"/>
    </row>
    <row r="515" customFormat="false" ht="15" hidden="false" customHeight="true" outlineLevel="0" collapsed="false">
      <c r="A515" s="17"/>
      <c r="B515" s="17"/>
      <c r="C515" s="17"/>
      <c r="D515" s="17"/>
      <c r="E515" s="17"/>
      <c r="F515" s="17"/>
      <c r="G515" s="17"/>
      <c r="H515" s="17"/>
      <c r="I515" s="17"/>
      <c r="J515" s="6" t="str">
        <f aca="false">IF(F515="","",IF(AND(F515&gt;=4,G515&gt;=4,H515&gt;=4,I515&gt;=4),"Proficient",IF(AND(F515&lt;=2,G515&lt;=2,H515&lt;=2,I515&lt;=2),"Emerging","Progressing")))</f>
        <v/>
      </c>
      <c r="K515" s="6" t="str">
        <f aca="false">IF(F515="","",IF(J515="Proficient","Yes","No"))</f>
        <v/>
      </c>
      <c r="L515" s="6" t="str">
        <f aca="false">IF(F515="","",INDEX({"Listening","Speaking","Reading","Writing"},MATCH(MIN(F515:I515),F515:I515,0)))</f>
        <v/>
      </c>
      <c r="M515" s="17"/>
      <c r="N515" s="6" t="str">
        <f aca="false">IF(OR(F515="",M515=""),"",ROUND(AVERAGE(F515:I515)-M515,1))</f>
        <v/>
      </c>
      <c r="O515" s="17"/>
      <c r="P515" s="17"/>
      <c r="Q515" s="17"/>
    </row>
    <row r="516" customFormat="false" ht="15" hidden="false" customHeight="true" outlineLevel="0" collapsed="false">
      <c r="A516" s="17"/>
      <c r="B516" s="17"/>
      <c r="C516" s="17"/>
      <c r="D516" s="17"/>
      <c r="E516" s="17"/>
      <c r="F516" s="17"/>
      <c r="G516" s="17"/>
      <c r="H516" s="17"/>
      <c r="I516" s="17"/>
      <c r="J516" s="6" t="str">
        <f aca="false">IF(F516="","",IF(AND(F516&gt;=4,G516&gt;=4,H516&gt;=4,I516&gt;=4),"Proficient",IF(AND(F516&lt;=2,G516&lt;=2,H516&lt;=2,I516&lt;=2),"Emerging","Progressing")))</f>
        <v/>
      </c>
      <c r="K516" s="6" t="str">
        <f aca="false">IF(F516="","",IF(J516="Proficient","Yes","No"))</f>
        <v/>
      </c>
      <c r="L516" s="6" t="str">
        <f aca="false">IF(F516="","",INDEX({"Listening","Speaking","Reading","Writing"},MATCH(MIN(F516:I516),F516:I516,0)))</f>
        <v/>
      </c>
      <c r="M516" s="17"/>
      <c r="N516" s="6" t="str">
        <f aca="false">IF(OR(F516="",M516=""),"",ROUND(AVERAGE(F516:I516)-M516,1))</f>
        <v/>
      </c>
      <c r="O516" s="17"/>
      <c r="P516" s="17"/>
      <c r="Q516" s="17"/>
    </row>
    <row r="517" customFormat="false" ht="15" hidden="false" customHeight="true" outlineLevel="0" collapsed="false">
      <c r="A517" s="17"/>
      <c r="B517" s="17"/>
      <c r="C517" s="17"/>
      <c r="D517" s="17"/>
      <c r="E517" s="17"/>
      <c r="F517" s="17"/>
      <c r="G517" s="17"/>
      <c r="H517" s="17"/>
      <c r="I517" s="17"/>
      <c r="J517" s="6" t="str">
        <f aca="false">IF(F517="","",IF(AND(F517&gt;=4,G517&gt;=4,H517&gt;=4,I517&gt;=4),"Proficient",IF(AND(F517&lt;=2,G517&lt;=2,H517&lt;=2,I517&lt;=2),"Emerging","Progressing")))</f>
        <v/>
      </c>
      <c r="K517" s="6" t="str">
        <f aca="false">IF(F517="","",IF(J517="Proficient","Yes","No"))</f>
        <v/>
      </c>
      <c r="L517" s="6" t="str">
        <f aca="false">IF(F517="","",INDEX({"Listening","Speaking","Reading","Writing"},MATCH(MIN(F517:I517),F517:I517,0)))</f>
        <v/>
      </c>
      <c r="M517" s="17"/>
      <c r="N517" s="6" t="str">
        <f aca="false">IF(OR(F517="",M517=""),"",ROUND(AVERAGE(F517:I517)-M517,1))</f>
        <v/>
      </c>
      <c r="O517" s="17"/>
      <c r="P517" s="17"/>
      <c r="Q517" s="17"/>
    </row>
    <row r="518" customFormat="false" ht="15" hidden="false" customHeight="true" outlineLevel="0" collapsed="false">
      <c r="A518" s="17"/>
      <c r="B518" s="17"/>
      <c r="C518" s="17"/>
      <c r="D518" s="17"/>
      <c r="E518" s="17"/>
      <c r="F518" s="17"/>
      <c r="G518" s="17"/>
      <c r="H518" s="17"/>
      <c r="I518" s="17"/>
      <c r="J518" s="6" t="str">
        <f aca="false">IF(F518="","",IF(AND(F518&gt;=4,G518&gt;=4,H518&gt;=4,I518&gt;=4),"Proficient",IF(AND(F518&lt;=2,G518&lt;=2,H518&lt;=2,I518&lt;=2),"Emerging","Progressing")))</f>
        <v/>
      </c>
      <c r="K518" s="6" t="str">
        <f aca="false">IF(F518="","",IF(J518="Proficient","Yes","No"))</f>
        <v/>
      </c>
      <c r="L518" s="6" t="str">
        <f aca="false">IF(F518="","",INDEX({"Listening","Speaking","Reading","Writing"},MATCH(MIN(F518:I518),F518:I518,0)))</f>
        <v/>
      </c>
      <c r="M518" s="17"/>
      <c r="N518" s="6" t="str">
        <f aca="false">IF(OR(F518="",M518=""),"",ROUND(AVERAGE(F518:I518)-M518,1))</f>
        <v/>
      </c>
      <c r="O518" s="17"/>
      <c r="P518" s="17"/>
      <c r="Q518" s="17"/>
    </row>
    <row r="519" customFormat="false" ht="15" hidden="false" customHeight="true" outlineLevel="0" collapsed="false">
      <c r="A519" s="17"/>
      <c r="B519" s="17"/>
      <c r="C519" s="17"/>
      <c r="D519" s="17"/>
      <c r="E519" s="17"/>
      <c r="F519" s="17"/>
      <c r="G519" s="17"/>
      <c r="H519" s="17"/>
      <c r="I519" s="17"/>
      <c r="J519" s="6" t="str">
        <f aca="false">IF(F519="","",IF(AND(F519&gt;=4,G519&gt;=4,H519&gt;=4,I519&gt;=4),"Proficient",IF(AND(F519&lt;=2,G519&lt;=2,H519&lt;=2,I519&lt;=2),"Emerging","Progressing")))</f>
        <v/>
      </c>
      <c r="K519" s="6" t="str">
        <f aca="false">IF(F519="","",IF(J519="Proficient","Yes","No"))</f>
        <v/>
      </c>
      <c r="L519" s="6" t="str">
        <f aca="false">IF(F519="","",INDEX({"Listening","Speaking","Reading","Writing"},MATCH(MIN(F519:I519),F519:I519,0)))</f>
        <v/>
      </c>
      <c r="M519" s="17"/>
      <c r="N519" s="6" t="str">
        <f aca="false">IF(OR(F519="",M519=""),"",ROUND(AVERAGE(F519:I519)-M519,1))</f>
        <v/>
      </c>
      <c r="O519" s="17"/>
      <c r="P519" s="17"/>
      <c r="Q519" s="17"/>
    </row>
    <row r="520" customFormat="false" ht="15" hidden="false" customHeight="true" outlineLevel="0" collapsed="false">
      <c r="A520" s="17"/>
      <c r="B520" s="17"/>
      <c r="C520" s="17"/>
      <c r="D520" s="17"/>
      <c r="E520" s="17"/>
      <c r="F520" s="17"/>
      <c r="G520" s="17"/>
      <c r="H520" s="17"/>
      <c r="I520" s="17"/>
      <c r="J520" s="6" t="str">
        <f aca="false">IF(F520="","",IF(AND(F520&gt;=4,G520&gt;=4,H520&gt;=4,I520&gt;=4),"Proficient",IF(AND(F520&lt;=2,G520&lt;=2,H520&lt;=2,I520&lt;=2),"Emerging","Progressing")))</f>
        <v/>
      </c>
      <c r="K520" s="6" t="str">
        <f aca="false">IF(F520="","",IF(J520="Proficient","Yes","No"))</f>
        <v/>
      </c>
      <c r="L520" s="6" t="str">
        <f aca="false">IF(F520="","",INDEX({"Listening","Speaking","Reading","Writing"},MATCH(MIN(F520:I520),F520:I520,0)))</f>
        <v/>
      </c>
      <c r="M520" s="17"/>
      <c r="N520" s="6" t="str">
        <f aca="false">IF(OR(F520="",M520=""),"",ROUND(AVERAGE(F520:I520)-M520,1))</f>
        <v/>
      </c>
      <c r="O520" s="17"/>
      <c r="P520" s="17"/>
      <c r="Q520" s="17"/>
    </row>
    <row r="521" customFormat="false" ht="15" hidden="false" customHeight="true" outlineLevel="0" collapsed="false">
      <c r="A521" s="17"/>
      <c r="B521" s="17"/>
      <c r="C521" s="17"/>
      <c r="D521" s="17"/>
      <c r="E521" s="17"/>
      <c r="F521" s="17"/>
      <c r="G521" s="17"/>
      <c r="H521" s="17"/>
      <c r="I521" s="17"/>
      <c r="J521" s="6" t="str">
        <f aca="false">IF(F521="","",IF(AND(F521&gt;=4,G521&gt;=4,H521&gt;=4,I521&gt;=4),"Proficient",IF(AND(F521&lt;=2,G521&lt;=2,H521&lt;=2,I521&lt;=2),"Emerging","Progressing")))</f>
        <v/>
      </c>
      <c r="K521" s="6" t="str">
        <f aca="false">IF(F521="","",IF(J521="Proficient","Yes","No"))</f>
        <v/>
      </c>
      <c r="L521" s="6" t="str">
        <f aca="false">IF(F521="","",INDEX({"Listening","Speaking","Reading","Writing"},MATCH(MIN(F521:I521),F521:I521,0)))</f>
        <v/>
      </c>
      <c r="M521" s="17"/>
      <c r="N521" s="6" t="str">
        <f aca="false">IF(OR(F521="",M521=""),"",ROUND(AVERAGE(F521:I521)-M521,1))</f>
        <v/>
      </c>
      <c r="O521" s="17"/>
      <c r="P521" s="17"/>
      <c r="Q521" s="17"/>
    </row>
    <row r="522" customFormat="false" ht="15" hidden="false" customHeight="true" outlineLevel="0" collapsed="false">
      <c r="A522" s="17"/>
      <c r="B522" s="17"/>
      <c r="C522" s="17"/>
      <c r="D522" s="17"/>
      <c r="E522" s="17"/>
      <c r="F522" s="17"/>
      <c r="G522" s="17"/>
      <c r="H522" s="17"/>
      <c r="I522" s="17"/>
      <c r="J522" s="6" t="str">
        <f aca="false">IF(F522="","",IF(AND(F522&gt;=4,G522&gt;=4,H522&gt;=4,I522&gt;=4),"Proficient",IF(AND(F522&lt;=2,G522&lt;=2,H522&lt;=2,I522&lt;=2),"Emerging","Progressing")))</f>
        <v/>
      </c>
      <c r="K522" s="6" t="str">
        <f aca="false">IF(F522="","",IF(J522="Proficient","Yes","No"))</f>
        <v/>
      </c>
      <c r="L522" s="6" t="str">
        <f aca="false">IF(F522="","",INDEX({"Listening","Speaking","Reading","Writing"},MATCH(MIN(F522:I522),F522:I522,0)))</f>
        <v/>
      </c>
      <c r="M522" s="17"/>
      <c r="N522" s="6" t="str">
        <f aca="false">IF(OR(F522="",M522=""),"",ROUND(AVERAGE(F522:I522)-M522,1))</f>
        <v/>
      </c>
      <c r="O522" s="17"/>
      <c r="P522" s="17"/>
      <c r="Q522" s="17"/>
    </row>
    <row r="523" customFormat="false" ht="15" hidden="false" customHeight="true" outlineLevel="0" collapsed="false">
      <c r="A523" s="17"/>
      <c r="B523" s="17"/>
      <c r="C523" s="17"/>
      <c r="D523" s="17"/>
      <c r="E523" s="17"/>
      <c r="F523" s="17"/>
      <c r="G523" s="17"/>
      <c r="H523" s="17"/>
      <c r="I523" s="17"/>
      <c r="J523" s="6" t="str">
        <f aca="false">IF(F523="","",IF(AND(F523&gt;=4,G523&gt;=4,H523&gt;=4,I523&gt;=4),"Proficient",IF(AND(F523&lt;=2,G523&lt;=2,H523&lt;=2,I523&lt;=2),"Emerging","Progressing")))</f>
        <v/>
      </c>
      <c r="K523" s="6" t="str">
        <f aca="false">IF(F523="","",IF(J523="Proficient","Yes","No"))</f>
        <v/>
      </c>
      <c r="L523" s="6" t="str">
        <f aca="false">IF(F523="","",INDEX({"Listening","Speaking","Reading","Writing"},MATCH(MIN(F523:I523),F523:I523,0)))</f>
        <v/>
      </c>
      <c r="M523" s="17"/>
      <c r="N523" s="6" t="str">
        <f aca="false">IF(OR(F523="",M523=""),"",ROUND(AVERAGE(F523:I523)-M523,1))</f>
        <v/>
      </c>
      <c r="O523" s="17"/>
      <c r="P523" s="17"/>
      <c r="Q523" s="17"/>
    </row>
    <row r="524" customFormat="false" ht="15" hidden="false" customHeight="true" outlineLevel="0" collapsed="false">
      <c r="A524" s="17"/>
      <c r="B524" s="17"/>
      <c r="C524" s="17"/>
      <c r="D524" s="17"/>
      <c r="E524" s="17"/>
      <c r="F524" s="17"/>
      <c r="G524" s="17"/>
      <c r="H524" s="17"/>
      <c r="I524" s="17"/>
      <c r="J524" s="6" t="str">
        <f aca="false">IF(F524="","",IF(AND(F524&gt;=4,G524&gt;=4,H524&gt;=4,I524&gt;=4),"Proficient",IF(AND(F524&lt;=2,G524&lt;=2,H524&lt;=2,I524&lt;=2),"Emerging","Progressing")))</f>
        <v/>
      </c>
      <c r="K524" s="6" t="str">
        <f aca="false">IF(F524="","",IF(J524="Proficient","Yes","No"))</f>
        <v/>
      </c>
      <c r="L524" s="6" t="str">
        <f aca="false">IF(F524="","",INDEX({"Listening","Speaking","Reading","Writing"},MATCH(MIN(F524:I524),F524:I524,0)))</f>
        <v/>
      </c>
      <c r="M524" s="17"/>
      <c r="N524" s="6" t="str">
        <f aca="false">IF(OR(F524="",M524=""),"",ROUND(AVERAGE(F524:I524)-M524,1))</f>
        <v/>
      </c>
      <c r="O524" s="17"/>
      <c r="P524" s="17"/>
      <c r="Q524" s="17"/>
    </row>
    <row r="525" customFormat="false" ht="15" hidden="false" customHeight="true" outlineLevel="0" collapsed="false">
      <c r="A525" s="17"/>
      <c r="B525" s="17"/>
      <c r="C525" s="17"/>
      <c r="D525" s="17"/>
      <c r="E525" s="17"/>
      <c r="F525" s="17"/>
      <c r="G525" s="17"/>
      <c r="H525" s="17"/>
      <c r="I525" s="17"/>
      <c r="J525" s="6" t="str">
        <f aca="false">IF(F525="","",IF(AND(F525&gt;=4,G525&gt;=4,H525&gt;=4,I525&gt;=4),"Proficient",IF(AND(F525&lt;=2,G525&lt;=2,H525&lt;=2,I525&lt;=2),"Emerging","Progressing")))</f>
        <v/>
      </c>
      <c r="K525" s="6" t="str">
        <f aca="false">IF(F525="","",IF(J525="Proficient","Yes","No"))</f>
        <v/>
      </c>
      <c r="L525" s="6" t="str">
        <f aca="false">IF(F525="","",INDEX({"Listening","Speaking","Reading","Writing"},MATCH(MIN(F525:I525),F525:I525,0)))</f>
        <v/>
      </c>
      <c r="M525" s="17"/>
      <c r="N525" s="6" t="str">
        <f aca="false">IF(OR(F525="",M525=""),"",ROUND(AVERAGE(F525:I525)-M525,1))</f>
        <v/>
      </c>
      <c r="O525" s="17"/>
      <c r="P525" s="17"/>
      <c r="Q525" s="17"/>
    </row>
    <row r="526" customFormat="false" ht="15" hidden="false" customHeight="true" outlineLevel="0" collapsed="false">
      <c r="A526" s="17"/>
      <c r="B526" s="17"/>
      <c r="C526" s="17"/>
      <c r="D526" s="17"/>
      <c r="E526" s="17"/>
      <c r="F526" s="17"/>
      <c r="G526" s="17"/>
      <c r="H526" s="17"/>
      <c r="I526" s="17"/>
      <c r="J526" s="6" t="str">
        <f aca="false">IF(F526="","",IF(AND(F526&gt;=4,G526&gt;=4,H526&gt;=4,I526&gt;=4),"Proficient",IF(AND(F526&lt;=2,G526&lt;=2,H526&lt;=2,I526&lt;=2),"Emerging","Progressing")))</f>
        <v/>
      </c>
      <c r="K526" s="6" t="str">
        <f aca="false">IF(F526="","",IF(J526="Proficient","Yes","No"))</f>
        <v/>
      </c>
      <c r="L526" s="6" t="str">
        <f aca="false">IF(F526="","",INDEX({"Listening","Speaking","Reading","Writing"},MATCH(MIN(F526:I526),F526:I526,0)))</f>
        <v/>
      </c>
      <c r="M526" s="17"/>
      <c r="N526" s="6" t="str">
        <f aca="false">IF(OR(F526="",M526=""),"",ROUND(AVERAGE(F526:I526)-M526,1))</f>
        <v/>
      </c>
      <c r="O526" s="17"/>
      <c r="P526" s="17"/>
      <c r="Q526" s="17"/>
    </row>
    <row r="527" customFormat="false" ht="15" hidden="false" customHeight="true" outlineLevel="0" collapsed="false">
      <c r="A527" s="17"/>
      <c r="B527" s="17"/>
      <c r="C527" s="17"/>
      <c r="D527" s="17"/>
      <c r="E527" s="17"/>
      <c r="F527" s="17"/>
      <c r="G527" s="17"/>
      <c r="H527" s="17"/>
      <c r="I527" s="17"/>
      <c r="J527" s="6" t="str">
        <f aca="false">IF(F527="","",IF(AND(F527&gt;=4,G527&gt;=4,H527&gt;=4,I527&gt;=4),"Proficient",IF(AND(F527&lt;=2,G527&lt;=2,H527&lt;=2,I527&lt;=2),"Emerging","Progressing")))</f>
        <v/>
      </c>
      <c r="K527" s="6" t="str">
        <f aca="false">IF(F527="","",IF(J527="Proficient","Yes","No"))</f>
        <v/>
      </c>
      <c r="L527" s="6" t="str">
        <f aca="false">IF(F527="","",INDEX({"Listening","Speaking","Reading","Writing"},MATCH(MIN(F527:I527),F527:I527,0)))</f>
        <v/>
      </c>
      <c r="M527" s="17"/>
      <c r="N527" s="6" t="str">
        <f aca="false">IF(OR(F527="",M527=""),"",ROUND(AVERAGE(F527:I527)-M527,1))</f>
        <v/>
      </c>
      <c r="O527" s="17"/>
      <c r="P527" s="17"/>
      <c r="Q527" s="17"/>
    </row>
    <row r="528" customFormat="false" ht="15" hidden="false" customHeight="true" outlineLevel="0" collapsed="false">
      <c r="A528" s="17"/>
      <c r="B528" s="17"/>
      <c r="C528" s="17"/>
      <c r="D528" s="17"/>
      <c r="E528" s="17"/>
      <c r="F528" s="17"/>
      <c r="G528" s="17"/>
      <c r="H528" s="17"/>
      <c r="I528" s="17"/>
      <c r="J528" s="6" t="str">
        <f aca="false">IF(F528="","",IF(AND(F528&gt;=4,G528&gt;=4,H528&gt;=4,I528&gt;=4),"Proficient",IF(AND(F528&lt;=2,G528&lt;=2,H528&lt;=2,I528&lt;=2),"Emerging","Progressing")))</f>
        <v/>
      </c>
      <c r="K528" s="6" t="str">
        <f aca="false">IF(F528="","",IF(J528="Proficient","Yes","No"))</f>
        <v/>
      </c>
      <c r="L528" s="6" t="str">
        <f aca="false">IF(F528="","",INDEX({"Listening","Speaking","Reading","Writing"},MATCH(MIN(F528:I528),F528:I528,0)))</f>
        <v/>
      </c>
      <c r="M528" s="17"/>
      <c r="N528" s="6" t="str">
        <f aca="false">IF(OR(F528="",M528=""),"",ROUND(AVERAGE(F528:I528)-M528,1))</f>
        <v/>
      </c>
      <c r="O528" s="17"/>
      <c r="P528" s="17"/>
      <c r="Q528" s="17"/>
    </row>
    <row r="529" customFormat="false" ht="15" hidden="false" customHeight="true" outlineLevel="0" collapsed="false">
      <c r="A529" s="17"/>
      <c r="B529" s="17"/>
      <c r="C529" s="17"/>
      <c r="D529" s="17"/>
      <c r="E529" s="17"/>
      <c r="F529" s="17"/>
      <c r="G529" s="17"/>
      <c r="H529" s="17"/>
      <c r="I529" s="17"/>
      <c r="J529" s="6" t="str">
        <f aca="false">IF(F529="","",IF(AND(F529&gt;=4,G529&gt;=4,H529&gt;=4,I529&gt;=4),"Proficient",IF(AND(F529&lt;=2,G529&lt;=2,H529&lt;=2,I529&lt;=2),"Emerging","Progressing")))</f>
        <v/>
      </c>
      <c r="K529" s="6" t="str">
        <f aca="false">IF(F529="","",IF(J529="Proficient","Yes","No"))</f>
        <v/>
      </c>
      <c r="L529" s="6" t="str">
        <f aca="false">IF(F529="","",INDEX({"Listening","Speaking","Reading","Writing"},MATCH(MIN(F529:I529),F529:I529,0)))</f>
        <v/>
      </c>
      <c r="M529" s="17"/>
      <c r="N529" s="6" t="str">
        <f aca="false">IF(OR(F529="",M529=""),"",ROUND(AVERAGE(F529:I529)-M529,1))</f>
        <v/>
      </c>
      <c r="O529" s="17"/>
      <c r="P529" s="17"/>
      <c r="Q529" s="17"/>
    </row>
    <row r="530" customFormat="false" ht="15" hidden="false" customHeight="true" outlineLevel="0" collapsed="false">
      <c r="A530" s="17"/>
      <c r="B530" s="17"/>
      <c r="C530" s="17"/>
      <c r="D530" s="17"/>
      <c r="E530" s="17"/>
      <c r="F530" s="17"/>
      <c r="G530" s="17"/>
      <c r="H530" s="17"/>
      <c r="I530" s="17"/>
      <c r="J530" s="6" t="str">
        <f aca="false">IF(F530="","",IF(AND(F530&gt;=4,G530&gt;=4,H530&gt;=4,I530&gt;=4),"Proficient",IF(AND(F530&lt;=2,G530&lt;=2,H530&lt;=2,I530&lt;=2),"Emerging","Progressing")))</f>
        <v/>
      </c>
      <c r="K530" s="6" t="str">
        <f aca="false">IF(F530="","",IF(J530="Proficient","Yes","No"))</f>
        <v/>
      </c>
      <c r="L530" s="6" t="str">
        <f aca="false">IF(F530="","",INDEX({"Listening","Speaking","Reading","Writing"},MATCH(MIN(F530:I530),F530:I530,0)))</f>
        <v/>
      </c>
      <c r="M530" s="17"/>
      <c r="N530" s="6" t="str">
        <f aca="false">IF(OR(F530="",M530=""),"",ROUND(AVERAGE(F530:I530)-M530,1))</f>
        <v/>
      </c>
      <c r="O530" s="17"/>
      <c r="P530" s="17"/>
      <c r="Q530" s="17"/>
    </row>
    <row r="531" customFormat="false" ht="15" hidden="false" customHeight="true" outlineLevel="0" collapsed="false">
      <c r="A531" s="17"/>
      <c r="B531" s="17"/>
      <c r="C531" s="17"/>
      <c r="D531" s="17"/>
      <c r="E531" s="17"/>
      <c r="F531" s="17"/>
      <c r="G531" s="17"/>
      <c r="H531" s="17"/>
      <c r="I531" s="17"/>
      <c r="J531" s="6" t="str">
        <f aca="false">IF(F531="","",IF(AND(F531&gt;=4,G531&gt;=4,H531&gt;=4,I531&gt;=4),"Proficient",IF(AND(F531&lt;=2,G531&lt;=2,H531&lt;=2,I531&lt;=2),"Emerging","Progressing")))</f>
        <v/>
      </c>
      <c r="K531" s="6" t="str">
        <f aca="false">IF(F531="","",IF(J531="Proficient","Yes","No"))</f>
        <v/>
      </c>
      <c r="L531" s="6" t="str">
        <f aca="false">IF(F531="","",INDEX({"Listening","Speaking","Reading","Writing"},MATCH(MIN(F531:I531),F531:I531,0)))</f>
        <v/>
      </c>
      <c r="M531" s="17"/>
      <c r="N531" s="6" t="str">
        <f aca="false">IF(OR(F531="",M531=""),"",ROUND(AVERAGE(F531:I531)-M531,1))</f>
        <v/>
      </c>
      <c r="O531" s="17"/>
      <c r="P531" s="17"/>
      <c r="Q531" s="17"/>
    </row>
    <row r="532" customFormat="false" ht="15" hidden="false" customHeight="true" outlineLevel="0" collapsed="false">
      <c r="A532" s="17"/>
      <c r="B532" s="17"/>
      <c r="C532" s="17"/>
      <c r="D532" s="17"/>
      <c r="E532" s="17"/>
      <c r="F532" s="17"/>
      <c r="G532" s="17"/>
      <c r="H532" s="17"/>
      <c r="I532" s="17"/>
      <c r="J532" s="6" t="str">
        <f aca="false">IF(F532="","",IF(AND(F532&gt;=4,G532&gt;=4,H532&gt;=4,I532&gt;=4),"Proficient",IF(AND(F532&lt;=2,G532&lt;=2,H532&lt;=2,I532&lt;=2),"Emerging","Progressing")))</f>
        <v/>
      </c>
      <c r="K532" s="6" t="str">
        <f aca="false">IF(F532="","",IF(J532="Proficient","Yes","No"))</f>
        <v/>
      </c>
      <c r="L532" s="6" t="str">
        <f aca="false">IF(F532="","",INDEX({"Listening","Speaking","Reading","Writing"},MATCH(MIN(F532:I532),F532:I532,0)))</f>
        <v/>
      </c>
      <c r="M532" s="17"/>
      <c r="N532" s="6" t="str">
        <f aca="false">IF(OR(F532="",M532=""),"",ROUND(AVERAGE(F532:I532)-M532,1))</f>
        <v/>
      </c>
      <c r="O532" s="17"/>
      <c r="P532" s="17"/>
      <c r="Q532" s="17"/>
    </row>
    <row r="533" customFormat="false" ht="15" hidden="false" customHeight="true" outlineLevel="0" collapsed="false">
      <c r="A533" s="17"/>
      <c r="B533" s="17"/>
      <c r="C533" s="17"/>
      <c r="D533" s="17"/>
      <c r="E533" s="17"/>
      <c r="F533" s="17"/>
      <c r="G533" s="17"/>
      <c r="H533" s="17"/>
      <c r="I533" s="17"/>
      <c r="J533" s="6" t="str">
        <f aca="false">IF(F533="","",IF(AND(F533&gt;=4,G533&gt;=4,H533&gt;=4,I533&gt;=4),"Proficient",IF(AND(F533&lt;=2,G533&lt;=2,H533&lt;=2,I533&lt;=2),"Emerging","Progressing")))</f>
        <v/>
      </c>
      <c r="K533" s="6" t="str">
        <f aca="false">IF(F533="","",IF(J533="Proficient","Yes","No"))</f>
        <v/>
      </c>
      <c r="L533" s="6" t="str">
        <f aca="false">IF(F533="","",INDEX({"Listening","Speaking","Reading","Writing"},MATCH(MIN(F533:I533),F533:I533,0)))</f>
        <v/>
      </c>
      <c r="M533" s="17"/>
      <c r="N533" s="6" t="str">
        <f aca="false">IF(OR(F533="",M533=""),"",ROUND(AVERAGE(F533:I533)-M533,1))</f>
        <v/>
      </c>
      <c r="O533" s="17"/>
      <c r="P533" s="17"/>
      <c r="Q533" s="17"/>
    </row>
    <row r="534" customFormat="false" ht="15" hidden="false" customHeight="true" outlineLevel="0" collapsed="false">
      <c r="A534" s="17"/>
      <c r="B534" s="17"/>
      <c r="C534" s="17"/>
      <c r="D534" s="17"/>
      <c r="E534" s="17"/>
      <c r="F534" s="17"/>
      <c r="G534" s="17"/>
      <c r="H534" s="17"/>
      <c r="I534" s="17"/>
      <c r="J534" s="6" t="str">
        <f aca="false">IF(F534="","",IF(AND(F534&gt;=4,G534&gt;=4,H534&gt;=4,I534&gt;=4),"Proficient",IF(AND(F534&lt;=2,G534&lt;=2,H534&lt;=2,I534&lt;=2),"Emerging","Progressing")))</f>
        <v/>
      </c>
      <c r="K534" s="6" t="str">
        <f aca="false">IF(F534="","",IF(J534="Proficient","Yes","No"))</f>
        <v/>
      </c>
      <c r="L534" s="6" t="str">
        <f aca="false">IF(F534="","",INDEX({"Listening","Speaking","Reading","Writing"},MATCH(MIN(F534:I534),F534:I534,0)))</f>
        <v/>
      </c>
      <c r="M534" s="17"/>
      <c r="N534" s="6" t="str">
        <f aca="false">IF(OR(F534="",M534=""),"",ROUND(AVERAGE(F534:I534)-M534,1))</f>
        <v/>
      </c>
      <c r="O534" s="17"/>
      <c r="P534" s="17"/>
      <c r="Q534" s="17"/>
    </row>
    <row r="535" customFormat="false" ht="15" hidden="false" customHeight="true" outlineLevel="0" collapsed="false">
      <c r="A535" s="17"/>
      <c r="B535" s="17"/>
      <c r="C535" s="17"/>
      <c r="D535" s="17"/>
      <c r="E535" s="17"/>
      <c r="F535" s="17"/>
      <c r="G535" s="17"/>
      <c r="H535" s="17"/>
      <c r="I535" s="17"/>
      <c r="J535" s="6" t="str">
        <f aca="false">IF(F535="","",IF(AND(F535&gt;=4,G535&gt;=4,H535&gt;=4,I535&gt;=4),"Proficient",IF(AND(F535&lt;=2,G535&lt;=2,H535&lt;=2,I535&lt;=2),"Emerging","Progressing")))</f>
        <v/>
      </c>
      <c r="K535" s="6" t="str">
        <f aca="false">IF(F535="","",IF(J535="Proficient","Yes","No"))</f>
        <v/>
      </c>
      <c r="L535" s="6" t="str">
        <f aca="false">IF(F535="","",INDEX({"Listening","Speaking","Reading","Writing"},MATCH(MIN(F535:I535),F535:I535,0)))</f>
        <v/>
      </c>
      <c r="M535" s="17"/>
      <c r="N535" s="6" t="str">
        <f aca="false">IF(OR(F535="",M535=""),"",ROUND(AVERAGE(F535:I535)-M535,1))</f>
        <v/>
      </c>
      <c r="O535" s="17"/>
      <c r="P535" s="17"/>
      <c r="Q535" s="17"/>
    </row>
    <row r="536" customFormat="false" ht="15" hidden="false" customHeight="true" outlineLevel="0" collapsed="false">
      <c r="A536" s="17"/>
      <c r="B536" s="17"/>
      <c r="C536" s="17"/>
      <c r="D536" s="17"/>
      <c r="E536" s="17"/>
      <c r="F536" s="17"/>
      <c r="G536" s="17"/>
      <c r="H536" s="17"/>
      <c r="I536" s="17"/>
      <c r="J536" s="6" t="str">
        <f aca="false">IF(F536="","",IF(AND(F536&gt;=4,G536&gt;=4,H536&gt;=4,I536&gt;=4),"Proficient",IF(AND(F536&lt;=2,G536&lt;=2,H536&lt;=2,I536&lt;=2),"Emerging","Progressing")))</f>
        <v/>
      </c>
      <c r="K536" s="6" t="str">
        <f aca="false">IF(F536="","",IF(J536="Proficient","Yes","No"))</f>
        <v/>
      </c>
      <c r="L536" s="6" t="str">
        <f aca="false">IF(F536="","",INDEX({"Listening","Speaking","Reading","Writing"},MATCH(MIN(F536:I536),F536:I536,0)))</f>
        <v/>
      </c>
      <c r="M536" s="17"/>
      <c r="N536" s="6" t="str">
        <f aca="false">IF(OR(F536="",M536=""),"",ROUND(AVERAGE(F536:I536)-M536,1))</f>
        <v/>
      </c>
      <c r="O536" s="17"/>
      <c r="P536" s="17"/>
      <c r="Q536" s="17"/>
    </row>
    <row r="537" customFormat="false" ht="15" hidden="false" customHeight="true" outlineLevel="0" collapsed="false">
      <c r="A537" s="17"/>
      <c r="B537" s="17"/>
      <c r="C537" s="17"/>
      <c r="D537" s="17"/>
      <c r="E537" s="17"/>
      <c r="F537" s="17"/>
      <c r="G537" s="17"/>
      <c r="H537" s="17"/>
      <c r="I537" s="17"/>
      <c r="J537" s="6" t="str">
        <f aca="false">IF(F537="","",IF(AND(F537&gt;=4,G537&gt;=4,H537&gt;=4,I537&gt;=4),"Proficient",IF(AND(F537&lt;=2,G537&lt;=2,H537&lt;=2,I537&lt;=2),"Emerging","Progressing")))</f>
        <v/>
      </c>
      <c r="K537" s="6" t="str">
        <f aca="false">IF(F537="","",IF(J537="Proficient","Yes","No"))</f>
        <v/>
      </c>
      <c r="L537" s="6" t="str">
        <f aca="false">IF(F537="","",INDEX({"Listening","Speaking","Reading","Writing"},MATCH(MIN(F537:I537),F537:I537,0)))</f>
        <v/>
      </c>
      <c r="M537" s="17"/>
      <c r="N537" s="6" t="str">
        <f aca="false">IF(OR(F537="",M537=""),"",ROUND(AVERAGE(F537:I537)-M537,1))</f>
        <v/>
      </c>
      <c r="O537" s="17"/>
      <c r="P537" s="17"/>
      <c r="Q537" s="17"/>
    </row>
    <row r="538" customFormat="false" ht="15" hidden="false" customHeight="true" outlineLevel="0" collapsed="false">
      <c r="A538" s="17"/>
      <c r="B538" s="17"/>
      <c r="C538" s="17"/>
      <c r="D538" s="17"/>
      <c r="E538" s="17"/>
      <c r="F538" s="17"/>
      <c r="G538" s="17"/>
      <c r="H538" s="17"/>
      <c r="I538" s="17"/>
      <c r="J538" s="6" t="str">
        <f aca="false">IF(F538="","",IF(AND(F538&gt;=4,G538&gt;=4,H538&gt;=4,I538&gt;=4),"Proficient",IF(AND(F538&lt;=2,G538&lt;=2,H538&lt;=2,I538&lt;=2),"Emerging","Progressing")))</f>
        <v/>
      </c>
      <c r="K538" s="6" t="str">
        <f aca="false">IF(F538="","",IF(J538="Proficient","Yes","No"))</f>
        <v/>
      </c>
      <c r="L538" s="6" t="str">
        <f aca="false">IF(F538="","",INDEX({"Listening","Speaking","Reading","Writing"},MATCH(MIN(F538:I538),F538:I538,0)))</f>
        <v/>
      </c>
      <c r="M538" s="17"/>
      <c r="N538" s="6" t="str">
        <f aca="false">IF(OR(F538="",M538=""),"",ROUND(AVERAGE(F538:I538)-M538,1))</f>
        <v/>
      </c>
      <c r="O538" s="17"/>
      <c r="P538" s="17"/>
      <c r="Q538" s="17"/>
    </row>
    <row r="539" customFormat="false" ht="15" hidden="false" customHeight="true" outlineLevel="0" collapsed="false">
      <c r="A539" s="17"/>
      <c r="B539" s="17"/>
      <c r="C539" s="17"/>
      <c r="D539" s="17"/>
      <c r="E539" s="17"/>
      <c r="F539" s="17"/>
      <c r="G539" s="17"/>
      <c r="H539" s="17"/>
      <c r="I539" s="17"/>
      <c r="J539" s="6" t="str">
        <f aca="false">IF(F539="","",IF(AND(F539&gt;=4,G539&gt;=4,H539&gt;=4,I539&gt;=4),"Proficient",IF(AND(F539&lt;=2,G539&lt;=2,H539&lt;=2,I539&lt;=2),"Emerging","Progressing")))</f>
        <v/>
      </c>
      <c r="K539" s="6" t="str">
        <f aca="false">IF(F539="","",IF(J539="Proficient","Yes","No"))</f>
        <v/>
      </c>
      <c r="L539" s="6" t="str">
        <f aca="false">IF(F539="","",INDEX({"Listening","Speaking","Reading","Writing"},MATCH(MIN(F539:I539),F539:I539,0)))</f>
        <v/>
      </c>
      <c r="M539" s="17"/>
      <c r="N539" s="6" t="str">
        <f aca="false">IF(OR(F539="",M539=""),"",ROUND(AVERAGE(F539:I539)-M539,1))</f>
        <v/>
      </c>
      <c r="O539" s="17"/>
      <c r="P539" s="17"/>
      <c r="Q539" s="17"/>
    </row>
    <row r="540" customFormat="false" ht="15" hidden="false" customHeight="true" outlineLevel="0" collapsed="false">
      <c r="A540" s="17"/>
      <c r="B540" s="17"/>
      <c r="C540" s="17"/>
      <c r="D540" s="17"/>
      <c r="E540" s="17"/>
      <c r="F540" s="17"/>
      <c r="G540" s="17"/>
      <c r="H540" s="17"/>
      <c r="I540" s="17"/>
      <c r="J540" s="6" t="str">
        <f aca="false">IF(F540="","",IF(AND(F540&gt;=4,G540&gt;=4,H540&gt;=4,I540&gt;=4),"Proficient",IF(AND(F540&lt;=2,G540&lt;=2,H540&lt;=2,I540&lt;=2),"Emerging","Progressing")))</f>
        <v/>
      </c>
      <c r="K540" s="6" t="str">
        <f aca="false">IF(F540="","",IF(J540="Proficient","Yes","No"))</f>
        <v/>
      </c>
      <c r="L540" s="6" t="str">
        <f aca="false">IF(F540="","",INDEX({"Listening","Speaking","Reading","Writing"},MATCH(MIN(F540:I540),F540:I540,0)))</f>
        <v/>
      </c>
      <c r="M540" s="17"/>
      <c r="N540" s="6" t="str">
        <f aca="false">IF(OR(F540="",M540=""),"",ROUND(AVERAGE(F540:I540)-M540,1))</f>
        <v/>
      </c>
      <c r="O540" s="17"/>
      <c r="P540" s="17"/>
      <c r="Q540" s="17"/>
    </row>
    <row r="541" customFormat="false" ht="15" hidden="false" customHeight="true" outlineLevel="0" collapsed="false">
      <c r="A541" s="17"/>
      <c r="B541" s="17"/>
      <c r="C541" s="17"/>
      <c r="D541" s="17"/>
      <c r="E541" s="17"/>
      <c r="F541" s="17"/>
      <c r="G541" s="17"/>
      <c r="H541" s="17"/>
      <c r="I541" s="17"/>
      <c r="J541" s="6" t="str">
        <f aca="false">IF(F541="","",IF(AND(F541&gt;=4,G541&gt;=4,H541&gt;=4,I541&gt;=4),"Proficient",IF(AND(F541&lt;=2,G541&lt;=2,H541&lt;=2,I541&lt;=2),"Emerging","Progressing")))</f>
        <v/>
      </c>
      <c r="K541" s="6" t="str">
        <f aca="false">IF(F541="","",IF(J541="Proficient","Yes","No"))</f>
        <v/>
      </c>
      <c r="L541" s="6" t="str">
        <f aca="false">IF(F541="","",INDEX({"Listening","Speaking","Reading","Writing"},MATCH(MIN(F541:I541),F541:I541,0)))</f>
        <v/>
      </c>
      <c r="M541" s="17"/>
      <c r="N541" s="6" t="str">
        <f aca="false">IF(OR(F541="",M541=""),"",ROUND(AVERAGE(F541:I541)-M541,1))</f>
        <v/>
      </c>
      <c r="O541" s="17"/>
      <c r="P541" s="17"/>
      <c r="Q541" s="17"/>
    </row>
    <row r="542" customFormat="false" ht="15" hidden="false" customHeight="true" outlineLevel="0" collapsed="false">
      <c r="A542" s="17"/>
      <c r="B542" s="17"/>
      <c r="C542" s="17"/>
      <c r="D542" s="17"/>
      <c r="E542" s="17"/>
      <c r="F542" s="17"/>
      <c r="G542" s="17"/>
      <c r="H542" s="17"/>
      <c r="I542" s="17"/>
      <c r="J542" s="6" t="str">
        <f aca="false">IF(F542="","",IF(AND(F542&gt;=4,G542&gt;=4,H542&gt;=4,I542&gt;=4),"Proficient",IF(AND(F542&lt;=2,G542&lt;=2,H542&lt;=2,I542&lt;=2),"Emerging","Progressing")))</f>
        <v/>
      </c>
      <c r="K542" s="6" t="str">
        <f aca="false">IF(F542="","",IF(J542="Proficient","Yes","No"))</f>
        <v/>
      </c>
      <c r="L542" s="6" t="str">
        <f aca="false">IF(F542="","",INDEX({"Listening","Speaking","Reading","Writing"},MATCH(MIN(F542:I542),F542:I542,0)))</f>
        <v/>
      </c>
      <c r="M542" s="17"/>
      <c r="N542" s="6" t="str">
        <f aca="false">IF(OR(F542="",M542=""),"",ROUND(AVERAGE(F542:I542)-M542,1))</f>
        <v/>
      </c>
      <c r="O542" s="17"/>
      <c r="P542" s="17"/>
      <c r="Q542" s="17"/>
    </row>
    <row r="543" customFormat="false" ht="15" hidden="false" customHeight="true" outlineLevel="0" collapsed="false">
      <c r="A543" s="17"/>
      <c r="B543" s="17"/>
      <c r="C543" s="17"/>
      <c r="D543" s="17"/>
      <c r="E543" s="17"/>
      <c r="F543" s="17"/>
      <c r="G543" s="17"/>
      <c r="H543" s="17"/>
      <c r="I543" s="17"/>
      <c r="J543" s="6" t="str">
        <f aca="false">IF(F543="","",IF(AND(F543&gt;=4,G543&gt;=4,H543&gt;=4,I543&gt;=4),"Proficient",IF(AND(F543&lt;=2,G543&lt;=2,H543&lt;=2,I543&lt;=2),"Emerging","Progressing")))</f>
        <v/>
      </c>
      <c r="K543" s="6" t="str">
        <f aca="false">IF(F543="","",IF(J543="Proficient","Yes","No"))</f>
        <v/>
      </c>
      <c r="L543" s="6" t="str">
        <f aca="false">IF(F543="","",INDEX({"Listening","Speaking","Reading","Writing"},MATCH(MIN(F543:I543),F543:I543,0)))</f>
        <v/>
      </c>
      <c r="M543" s="17"/>
      <c r="N543" s="6" t="str">
        <f aca="false">IF(OR(F543="",M543=""),"",ROUND(AVERAGE(F543:I543)-M543,1))</f>
        <v/>
      </c>
      <c r="O543" s="17"/>
      <c r="P543" s="17"/>
      <c r="Q543" s="17"/>
    </row>
    <row r="544" customFormat="false" ht="15" hidden="false" customHeight="true" outlineLevel="0" collapsed="false">
      <c r="A544" s="17"/>
      <c r="B544" s="17"/>
      <c r="C544" s="17"/>
      <c r="D544" s="17"/>
      <c r="E544" s="17"/>
      <c r="F544" s="17"/>
      <c r="G544" s="17"/>
      <c r="H544" s="17"/>
      <c r="I544" s="17"/>
      <c r="J544" s="6" t="str">
        <f aca="false">IF(F544="","",IF(AND(F544&gt;=4,G544&gt;=4,H544&gt;=4,I544&gt;=4),"Proficient",IF(AND(F544&lt;=2,G544&lt;=2,H544&lt;=2,I544&lt;=2),"Emerging","Progressing")))</f>
        <v/>
      </c>
      <c r="K544" s="6" t="str">
        <f aca="false">IF(F544="","",IF(J544="Proficient","Yes","No"))</f>
        <v/>
      </c>
      <c r="L544" s="6" t="str">
        <f aca="false">IF(F544="","",INDEX({"Listening","Speaking","Reading","Writing"},MATCH(MIN(F544:I544),F544:I544,0)))</f>
        <v/>
      </c>
      <c r="M544" s="17"/>
      <c r="N544" s="6" t="str">
        <f aca="false">IF(OR(F544="",M544=""),"",ROUND(AVERAGE(F544:I544)-M544,1))</f>
        <v/>
      </c>
      <c r="O544" s="17"/>
      <c r="P544" s="17"/>
      <c r="Q544" s="17"/>
    </row>
    <row r="545" customFormat="false" ht="15" hidden="false" customHeight="true" outlineLevel="0" collapsed="false">
      <c r="A545" s="17"/>
      <c r="B545" s="17"/>
      <c r="C545" s="17"/>
      <c r="D545" s="17"/>
      <c r="E545" s="17"/>
      <c r="F545" s="17"/>
      <c r="G545" s="17"/>
      <c r="H545" s="17"/>
      <c r="I545" s="17"/>
      <c r="J545" s="6" t="str">
        <f aca="false">IF(F545="","",IF(AND(F545&gt;=4,G545&gt;=4,H545&gt;=4,I545&gt;=4),"Proficient",IF(AND(F545&lt;=2,G545&lt;=2,H545&lt;=2,I545&lt;=2),"Emerging","Progressing")))</f>
        <v/>
      </c>
      <c r="K545" s="6" t="str">
        <f aca="false">IF(F545="","",IF(J545="Proficient","Yes","No"))</f>
        <v/>
      </c>
      <c r="L545" s="6" t="str">
        <f aca="false">IF(F545="","",INDEX({"Listening","Speaking","Reading","Writing"},MATCH(MIN(F545:I545),F545:I545,0)))</f>
        <v/>
      </c>
      <c r="M545" s="17"/>
      <c r="N545" s="6" t="str">
        <f aca="false">IF(OR(F545="",M545=""),"",ROUND(AVERAGE(F545:I545)-M545,1))</f>
        <v/>
      </c>
      <c r="O545" s="17"/>
      <c r="P545" s="17"/>
      <c r="Q545" s="17"/>
    </row>
    <row r="546" customFormat="false" ht="15" hidden="false" customHeight="true" outlineLevel="0" collapsed="false">
      <c r="A546" s="17"/>
      <c r="B546" s="17"/>
      <c r="C546" s="17"/>
      <c r="D546" s="17"/>
      <c r="E546" s="17"/>
      <c r="F546" s="17"/>
      <c r="G546" s="17"/>
      <c r="H546" s="17"/>
      <c r="I546" s="17"/>
      <c r="J546" s="6" t="str">
        <f aca="false">IF(F546="","",IF(AND(F546&gt;=4,G546&gt;=4,H546&gt;=4,I546&gt;=4),"Proficient",IF(AND(F546&lt;=2,G546&lt;=2,H546&lt;=2,I546&lt;=2),"Emerging","Progressing")))</f>
        <v/>
      </c>
      <c r="K546" s="6" t="str">
        <f aca="false">IF(F546="","",IF(J546="Proficient","Yes","No"))</f>
        <v/>
      </c>
      <c r="L546" s="6" t="str">
        <f aca="false">IF(F546="","",INDEX({"Listening","Speaking","Reading","Writing"},MATCH(MIN(F546:I546),F546:I546,0)))</f>
        <v/>
      </c>
      <c r="M546" s="17"/>
      <c r="N546" s="6" t="str">
        <f aca="false">IF(OR(F546="",M546=""),"",ROUND(AVERAGE(F546:I546)-M546,1))</f>
        <v/>
      </c>
      <c r="O546" s="17"/>
      <c r="P546" s="17"/>
      <c r="Q546" s="17"/>
    </row>
    <row r="547" customFormat="false" ht="15" hidden="false" customHeight="true" outlineLevel="0" collapsed="false">
      <c r="A547" s="17"/>
      <c r="B547" s="17"/>
      <c r="C547" s="17"/>
      <c r="D547" s="17"/>
      <c r="E547" s="17"/>
      <c r="F547" s="17"/>
      <c r="G547" s="17"/>
      <c r="H547" s="17"/>
      <c r="I547" s="17"/>
      <c r="J547" s="6" t="str">
        <f aca="false">IF(F547="","",IF(AND(F547&gt;=4,G547&gt;=4,H547&gt;=4,I547&gt;=4),"Proficient",IF(AND(F547&lt;=2,G547&lt;=2,H547&lt;=2,I547&lt;=2),"Emerging","Progressing")))</f>
        <v/>
      </c>
      <c r="K547" s="6" t="str">
        <f aca="false">IF(F547="","",IF(J547="Proficient","Yes","No"))</f>
        <v/>
      </c>
      <c r="L547" s="6" t="str">
        <f aca="false">IF(F547="","",INDEX({"Listening","Speaking","Reading","Writing"},MATCH(MIN(F547:I547),F547:I547,0)))</f>
        <v/>
      </c>
      <c r="M547" s="17"/>
      <c r="N547" s="6" t="str">
        <f aca="false">IF(OR(F547="",M547=""),"",ROUND(AVERAGE(F547:I547)-M547,1))</f>
        <v/>
      </c>
      <c r="O547" s="17"/>
      <c r="P547" s="17"/>
      <c r="Q547" s="17"/>
    </row>
    <row r="548" customFormat="false" ht="15" hidden="false" customHeight="true" outlineLevel="0" collapsed="false">
      <c r="A548" s="17"/>
      <c r="B548" s="17"/>
      <c r="C548" s="17"/>
      <c r="D548" s="17"/>
      <c r="E548" s="17"/>
      <c r="F548" s="17"/>
      <c r="G548" s="17"/>
      <c r="H548" s="17"/>
      <c r="I548" s="17"/>
      <c r="J548" s="6" t="str">
        <f aca="false">IF(F548="","",IF(AND(F548&gt;=4,G548&gt;=4,H548&gt;=4,I548&gt;=4),"Proficient",IF(AND(F548&lt;=2,G548&lt;=2,H548&lt;=2,I548&lt;=2),"Emerging","Progressing")))</f>
        <v/>
      </c>
      <c r="K548" s="6" t="str">
        <f aca="false">IF(F548="","",IF(J548="Proficient","Yes","No"))</f>
        <v/>
      </c>
      <c r="L548" s="6" t="str">
        <f aca="false">IF(F548="","",INDEX({"Listening","Speaking","Reading","Writing"},MATCH(MIN(F548:I548),F548:I548,0)))</f>
        <v/>
      </c>
      <c r="M548" s="17"/>
      <c r="N548" s="6" t="str">
        <f aca="false">IF(OR(F548="",M548=""),"",ROUND(AVERAGE(F548:I548)-M548,1))</f>
        <v/>
      </c>
      <c r="O548" s="17"/>
      <c r="P548" s="17"/>
      <c r="Q548" s="17"/>
    </row>
    <row r="549" customFormat="false" ht="15" hidden="false" customHeight="true" outlineLevel="0" collapsed="false">
      <c r="A549" s="17"/>
      <c r="B549" s="17"/>
      <c r="C549" s="17"/>
      <c r="D549" s="17"/>
      <c r="E549" s="17"/>
      <c r="F549" s="17"/>
      <c r="G549" s="17"/>
      <c r="H549" s="17"/>
      <c r="I549" s="17"/>
      <c r="J549" s="6" t="str">
        <f aca="false">IF(F549="","",IF(AND(F549&gt;=4,G549&gt;=4,H549&gt;=4,I549&gt;=4),"Proficient",IF(AND(F549&lt;=2,G549&lt;=2,H549&lt;=2,I549&lt;=2),"Emerging","Progressing")))</f>
        <v/>
      </c>
      <c r="K549" s="6" t="str">
        <f aca="false">IF(F549="","",IF(J549="Proficient","Yes","No"))</f>
        <v/>
      </c>
      <c r="L549" s="6" t="str">
        <f aca="false">IF(F549="","",INDEX({"Listening","Speaking","Reading","Writing"},MATCH(MIN(F549:I549),F549:I549,0)))</f>
        <v/>
      </c>
      <c r="M549" s="17"/>
      <c r="N549" s="6" t="str">
        <f aca="false">IF(OR(F549="",M549=""),"",ROUND(AVERAGE(F549:I549)-M549,1))</f>
        <v/>
      </c>
      <c r="O549" s="17"/>
      <c r="P549" s="17"/>
      <c r="Q549" s="17"/>
    </row>
    <row r="550" customFormat="false" ht="15" hidden="false" customHeight="true" outlineLevel="0" collapsed="false">
      <c r="A550" s="17"/>
      <c r="B550" s="17"/>
      <c r="C550" s="17"/>
      <c r="D550" s="17"/>
      <c r="E550" s="17"/>
      <c r="F550" s="17"/>
      <c r="G550" s="17"/>
      <c r="H550" s="17"/>
      <c r="I550" s="17"/>
      <c r="J550" s="6" t="str">
        <f aca="false">IF(F550="","",IF(AND(F550&gt;=4,G550&gt;=4,H550&gt;=4,I550&gt;=4),"Proficient",IF(AND(F550&lt;=2,G550&lt;=2,H550&lt;=2,I550&lt;=2),"Emerging","Progressing")))</f>
        <v/>
      </c>
      <c r="K550" s="6" t="str">
        <f aca="false">IF(F550="","",IF(J550="Proficient","Yes","No"))</f>
        <v/>
      </c>
      <c r="L550" s="6" t="str">
        <f aca="false">IF(F550="","",INDEX({"Listening","Speaking","Reading","Writing"},MATCH(MIN(F550:I550),F550:I550,0)))</f>
        <v/>
      </c>
      <c r="M550" s="17"/>
      <c r="N550" s="6" t="str">
        <f aca="false">IF(OR(F550="",M550=""),"",ROUND(AVERAGE(F550:I550)-M550,1))</f>
        <v/>
      </c>
      <c r="O550" s="17"/>
      <c r="P550" s="17"/>
      <c r="Q550" s="17"/>
    </row>
    <row r="551" customFormat="false" ht="15" hidden="false" customHeight="true" outlineLevel="0" collapsed="false">
      <c r="A551" s="17"/>
      <c r="B551" s="17"/>
      <c r="C551" s="17"/>
      <c r="D551" s="17"/>
      <c r="E551" s="17"/>
      <c r="F551" s="17"/>
      <c r="G551" s="17"/>
      <c r="H551" s="17"/>
      <c r="I551" s="17"/>
      <c r="J551" s="6" t="str">
        <f aca="false">IF(F551="","",IF(AND(F551&gt;=4,G551&gt;=4,H551&gt;=4,I551&gt;=4),"Proficient",IF(AND(F551&lt;=2,G551&lt;=2,H551&lt;=2,I551&lt;=2),"Emerging","Progressing")))</f>
        <v/>
      </c>
      <c r="K551" s="6" t="str">
        <f aca="false">IF(F551="","",IF(J551="Proficient","Yes","No"))</f>
        <v/>
      </c>
      <c r="L551" s="6" t="str">
        <f aca="false">IF(F551="","",INDEX({"Listening","Speaking","Reading","Writing"},MATCH(MIN(F551:I551),F551:I551,0)))</f>
        <v/>
      </c>
      <c r="M551" s="17"/>
      <c r="N551" s="6" t="str">
        <f aca="false">IF(OR(F551="",M551=""),"",ROUND(AVERAGE(F551:I551)-M551,1))</f>
        <v/>
      </c>
      <c r="O551" s="17"/>
      <c r="P551" s="17"/>
      <c r="Q551" s="17"/>
    </row>
    <row r="552" customFormat="false" ht="15" hidden="false" customHeight="true" outlineLevel="0" collapsed="false">
      <c r="A552" s="17"/>
      <c r="B552" s="17"/>
      <c r="C552" s="17"/>
      <c r="D552" s="17"/>
      <c r="E552" s="17"/>
      <c r="F552" s="17"/>
      <c r="G552" s="17"/>
      <c r="H552" s="17"/>
      <c r="I552" s="17"/>
      <c r="J552" s="6" t="str">
        <f aca="false">IF(F552="","",IF(AND(F552&gt;=4,G552&gt;=4,H552&gt;=4,I552&gt;=4),"Proficient",IF(AND(F552&lt;=2,G552&lt;=2,H552&lt;=2,I552&lt;=2),"Emerging","Progressing")))</f>
        <v/>
      </c>
      <c r="K552" s="6" t="str">
        <f aca="false">IF(F552="","",IF(J552="Proficient","Yes","No"))</f>
        <v/>
      </c>
      <c r="L552" s="6" t="str">
        <f aca="false">IF(F552="","",INDEX({"Listening","Speaking","Reading","Writing"},MATCH(MIN(F552:I552),F552:I552,0)))</f>
        <v/>
      </c>
      <c r="M552" s="17"/>
      <c r="N552" s="6" t="str">
        <f aca="false">IF(OR(F552="",M552=""),"",ROUND(AVERAGE(F552:I552)-M552,1))</f>
        <v/>
      </c>
      <c r="O552" s="17"/>
      <c r="P552" s="17"/>
      <c r="Q552" s="17"/>
    </row>
    <row r="553" customFormat="false" ht="15" hidden="false" customHeight="true" outlineLevel="0" collapsed="false">
      <c r="A553" s="17"/>
      <c r="B553" s="17"/>
      <c r="C553" s="17"/>
      <c r="D553" s="17"/>
      <c r="E553" s="17"/>
      <c r="F553" s="17"/>
      <c r="G553" s="17"/>
      <c r="H553" s="17"/>
      <c r="I553" s="17"/>
      <c r="J553" s="6" t="str">
        <f aca="false">IF(F553="","",IF(AND(F553&gt;=4,G553&gt;=4,H553&gt;=4,I553&gt;=4),"Proficient",IF(AND(F553&lt;=2,G553&lt;=2,H553&lt;=2,I553&lt;=2),"Emerging","Progressing")))</f>
        <v/>
      </c>
      <c r="K553" s="6" t="str">
        <f aca="false">IF(F553="","",IF(J553="Proficient","Yes","No"))</f>
        <v/>
      </c>
      <c r="L553" s="6" t="str">
        <f aca="false">IF(F553="","",INDEX({"Listening","Speaking","Reading","Writing"},MATCH(MIN(F553:I553),F553:I553,0)))</f>
        <v/>
      </c>
      <c r="M553" s="17"/>
      <c r="N553" s="6" t="str">
        <f aca="false">IF(OR(F553="",M553=""),"",ROUND(AVERAGE(F553:I553)-M553,1))</f>
        <v/>
      </c>
      <c r="O553" s="17"/>
      <c r="P553" s="17"/>
      <c r="Q553" s="17"/>
    </row>
    <row r="554" customFormat="false" ht="15" hidden="false" customHeight="true" outlineLevel="0" collapsed="false">
      <c r="A554" s="17"/>
      <c r="B554" s="17"/>
      <c r="C554" s="17"/>
      <c r="D554" s="17"/>
      <c r="E554" s="17"/>
      <c r="F554" s="17"/>
      <c r="G554" s="17"/>
      <c r="H554" s="17"/>
      <c r="I554" s="17"/>
      <c r="J554" s="6" t="str">
        <f aca="false">IF(F554="","",IF(AND(F554&gt;=4,G554&gt;=4,H554&gt;=4,I554&gt;=4),"Proficient",IF(AND(F554&lt;=2,G554&lt;=2,H554&lt;=2,I554&lt;=2),"Emerging","Progressing")))</f>
        <v/>
      </c>
      <c r="K554" s="6" t="str">
        <f aca="false">IF(F554="","",IF(J554="Proficient","Yes","No"))</f>
        <v/>
      </c>
      <c r="L554" s="6" t="str">
        <f aca="false">IF(F554="","",INDEX({"Listening","Speaking","Reading","Writing"},MATCH(MIN(F554:I554),F554:I554,0)))</f>
        <v/>
      </c>
      <c r="M554" s="17"/>
      <c r="N554" s="6" t="str">
        <f aca="false">IF(OR(F554="",M554=""),"",ROUND(AVERAGE(F554:I554)-M554,1))</f>
        <v/>
      </c>
      <c r="O554" s="17"/>
      <c r="P554" s="17"/>
      <c r="Q554" s="17"/>
    </row>
    <row r="555" customFormat="false" ht="15" hidden="false" customHeight="true" outlineLevel="0" collapsed="false">
      <c r="A555" s="17"/>
      <c r="B555" s="17"/>
      <c r="C555" s="17"/>
      <c r="D555" s="17"/>
      <c r="E555" s="17"/>
      <c r="F555" s="17"/>
      <c r="G555" s="17"/>
      <c r="H555" s="17"/>
      <c r="I555" s="17"/>
      <c r="J555" s="6" t="str">
        <f aca="false">IF(F555="","",IF(AND(F555&gt;=4,G555&gt;=4,H555&gt;=4,I555&gt;=4),"Proficient",IF(AND(F555&lt;=2,G555&lt;=2,H555&lt;=2,I555&lt;=2),"Emerging","Progressing")))</f>
        <v/>
      </c>
      <c r="K555" s="6" t="str">
        <f aca="false">IF(F555="","",IF(J555="Proficient","Yes","No"))</f>
        <v/>
      </c>
      <c r="L555" s="6" t="str">
        <f aca="false">IF(F555="","",INDEX({"Listening","Speaking","Reading","Writing"},MATCH(MIN(F555:I555),F555:I555,0)))</f>
        <v/>
      </c>
      <c r="M555" s="17"/>
      <c r="N555" s="6" t="str">
        <f aca="false">IF(OR(F555="",M555=""),"",ROUND(AVERAGE(F555:I555)-M555,1))</f>
        <v/>
      </c>
      <c r="O555" s="17"/>
      <c r="P555" s="17"/>
      <c r="Q555" s="17"/>
    </row>
    <row r="556" customFormat="false" ht="15" hidden="false" customHeight="true" outlineLevel="0" collapsed="false">
      <c r="A556" s="17"/>
      <c r="B556" s="17"/>
      <c r="C556" s="17"/>
      <c r="D556" s="17"/>
      <c r="E556" s="17"/>
      <c r="F556" s="17"/>
      <c r="G556" s="17"/>
      <c r="H556" s="17"/>
      <c r="I556" s="17"/>
      <c r="J556" s="6" t="str">
        <f aca="false">IF(F556="","",IF(AND(F556&gt;=4,G556&gt;=4,H556&gt;=4,I556&gt;=4),"Proficient",IF(AND(F556&lt;=2,G556&lt;=2,H556&lt;=2,I556&lt;=2),"Emerging","Progressing")))</f>
        <v/>
      </c>
      <c r="K556" s="6" t="str">
        <f aca="false">IF(F556="","",IF(J556="Proficient","Yes","No"))</f>
        <v/>
      </c>
      <c r="L556" s="6" t="str">
        <f aca="false">IF(F556="","",INDEX({"Listening","Speaking","Reading","Writing"},MATCH(MIN(F556:I556),F556:I556,0)))</f>
        <v/>
      </c>
      <c r="M556" s="17"/>
      <c r="N556" s="6" t="str">
        <f aca="false">IF(OR(F556="",M556=""),"",ROUND(AVERAGE(F556:I556)-M556,1))</f>
        <v/>
      </c>
      <c r="O556" s="17"/>
      <c r="P556" s="17"/>
      <c r="Q556" s="17"/>
    </row>
    <row r="557" customFormat="false" ht="15" hidden="false" customHeight="true" outlineLevel="0" collapsed="false">
      <c r="A557" s="17"/>
      <c r="B557" s="17"/>
      <c r="C557" s="17"/>
      <c r="D557" s="17"/>
      <c r="E557" s="17"/>
      <c r="F557" s="17"/>
      <c r="G557" s="17"/>
      <c r="H557" s="17"/>
      <c r="I557" s="17"/>
      <c r="J557" s="6" t="str">
        <f aca="false">IF(F557="","",IF(AND(F557&gt;=4,G557&gt;=4,H557&gt;=4,I557&gt;=4),"Proficient",IF(AND(F557&lt;=2,G557&lt;=2,H557&lt;=2,I557&lt;=2),"Emerging","Progressing")))</f>
        <v/>
      </c>
      <c r="K557" s="6" t="str">
        <f aca="false">IF(F557="","",IF(J557="Proficient","Yes","No"))</f>
        <v/>
      </c>
      <c r="L557" s="6" t="str">
        <f aca="false">IF(F557="","",INDEX({"Listening","Speaking","Reading","Writing"},MATCH(MIN(F557:I557),F557:I557,0)))</f>
        <v/>
      </c>
      <c r="M557" s="17"/>
      <c r="N557" s="6" t="str">
        <f aca="false">IF(OR(F557="",M557=""),"",ROUND(AVERAGE(F557:I557)-M557,1))</f>
        <v/>
      </c>
      <c r="O557" s="17"/>
      <c r="P557" s="17"/>
      <c r="Q557" s="17"/>
    </row>
    <row r="558" customFormat="false" ht="15" hidden="false" customHeight="true" outlineLevel="0" collapsed="false">
      <c r="A558" s="17"/>
      <c r="B558" s="17"/>
      <c r="C558" s="17"/>
      <c r="D558" s="17"/>
      <c r="E558" s="17"/>
      <c r="F558" s="17"/>
      <c r="G558" s="17"/>
      <c r="H558" s="17"/>
      <c r="I558" s="17"/>
      <c r="J558" s="6" t="str">
        <f aca="false">IF(F558="","",IF(AND(F558&gt;=4,G558&gt;=4,H558&gt;=4,I558&gt;=4),"Proficient",IF(AND(F558&lt;=2,G558&lt;=2,H558&lt;=2,I558&lt;=2),"Emerging","Progressing")))</f>
        <v/>
      </c>
      <c r="K558" s="6" t="str">
        <f aca="false">IF(F558="","",IF(J558="Proficient","Yes","No"))</f>
        <v/>
      </c>
      <c r="L558" s="6" t="str">
        <f aca="false">IF(F558="","",INDEX({"Listening","Speaking","Reading","Writing"},MATCH(MIN(F558:I558),F558:I558,0)))</f>
        <v/>
      </c>
      <c r="M558" s="17"/>
      <c r="N558" s="6" t="str">
        <f aca="false">IF(OR(F558="",M558=""),"",ROUND(AVERAGE(F558:I558)-M558,1))</f>
        <v/>
      </c>
      <c r="O558" s="17"/>
      <c r="P558" s="17"/>
      <c r="Q558" s="17"/>
    </row>
    <row r="559" customFormat="false" ht="15" hidden="false" customHeight="true" outlineLevel="0" collapsed="false">
      <c r="A559" s="17"/>
      <c r="B559" s="17"/>
      <c r="C559" s="17"/>
      <c r="D559" s="17"/>
      <c r="E559" s="17"/>
      <c r="F559" s="17"/>
      <c r="G559" s="17"/>
      <c r="H559" s="17"/>
      <c r="I559" s="17"/>
      <c r="J559" s="6" t="str">
        <f aca="false">IF(F559="","",IF(AND(F559&gt;=4,G559&gt;=4,H559&gt;=4,I559&gt;=4),"Proficient",IF(AND(F559&lt;=2,G559&lt;=2,H559&lt;=2,I559&lt;=2),"Emerging","Progressing")))</f>
        <v/>
      </c>
      <c r="K559" s="6" t="str">
        <f aca="false">IF(F559="","",IF(J559="Proficient","Yes","No"))</f>
        <v/>
      </c>
      <c r="L559" s="6" t="str">
        <f aca="false">IF(F559="","",INDEX({"Listening","Speaking","Reading","Writing"},MATCH(MIN(F559:I559),F559:I559,0)))</f>
        <v/>
      </c>
      <c r="M559" s="17"/>
      <c r="N559" s="6" t="str">
        <f aca="false">IF(OR(F559="",M559=""),"",ROUND(AVERAGE(F559:I559)-M559,1))</f>
        <v/>
      </c>
      <c r="O559" s="17"/>
      <c r="P559" s="17"/>
      <c r="Q559" s="17"/>
    </row>
    <row r="560" customFormat="false" ht="15" hidden="false" customHeight="true" outlineLevel="0" collapsed="false">
      <c r="A560" s="17"/>
      <c r="B560" s="17"/>
      <c r="C560" s="17"/>
      <c r="D560" s="17"/>
      <c r="E560" s="17"/>
      <c r="F560" s="17"/>
      <c r="G560" s="17"/>
      <c r="H560" s="17"/>
      <c r="I560" s="17"/>
      <c r="J560" s="6" t="str">
        <f aca="false">IF(F560="","",IF(AND(F560&gt;=4,G560&gt;=4,H560&gt;=4,I560&gt;=4),"Proficient",IF(AND(F560&lt;=2,G560&lt;=2,H560&lt;=2,I560&lt;=2),"Emerging","Progressing")))</f>
        <v/>
      </c>
      <c r="K560" s="6" t="str">
        <f aca="false">IF(F560="","",IF(J560="Proficient","Yes","No"))</f>
        <v/>
      </c>
      <c r="L560" s="6" t="str">
        <f aca="false">IF(F560="","",INDEX({"Listening","Speaking","Reading","Writing"},MATCH(MIN(F560:I560),F560:I560,0)))</f>
        <v/>
      </c>
      <c r="M560" s="17"/>
      <c r="N560" s="6" t="str">
        <f aca="false">IF(OR(F560="",M560=""),"",ROUND(AVERAGE(F560:I560)-M560,1))</f>
        <v/>
      </c>
      <c r="O560" s="17"/>
      <c r="P560" s="17"/>
      <c r="Q560" s="17"/>
    </row>
    <row r="561" customFormat="false" ht="15" hidden="false" customHeight="true" outlineLevel="0" collapsed="false">
      <c r="A561" s="17"/>
      <c r="B561" s="17"/>
      <c r="C561" s="17"/>
      <c r="D561" s="17"/>
      <c r="E561" s="17"/>
      <c r="F561" s="17"/>
      <c r="G561" s="17"/>
      <c r="H561" s="17"/>
      <c r="I561" s="17"/>
      <c r="J561" s="6" t="str">
        <f aca="false">IF(F561="","",IF(AND(F561&gt;=4,G561&gt;=4,H561&gt;=4,I561&gt;=4),"Proficient",IF(AND(F561&lt;=2,G561&lt;=2,H561&lt;=2,I561&lt;=2),"Emerging","Progressing")))</f>
        <v/>
      </c>
      <c r="K561" s="6" t="str">
        <f aca="false">IF(F561="","",IF(J561="Proficient","Yes","No"))</f>
        <v/>
      </c>
      <c r="L561" s="6" t="str">
        <f aca="false">IF(F561="","",INDEX({"Listening","Speaking","Reading","Writing"},MATCH(MIN(F561:I561),F561:I561,0)))</f>
        <v/>
      </c>
      <c r="M561" s="17"/>
      <c r="N561" s="6" t="str">
        <f aca="false">IF(OR(F561="",M561=""),"",ROUND(AVERAGE(F561:I561)-M561,1))</f>
        <v/>
      </c>
      <c r="O561" s="17"/>
      <c r="P561" s="17"/>
      <c r="Q561" s="17"/>
    </row>
    <row r="562" customFormat="false" ht="15" hidden="false" customHeight="true" outlineLevel="0" collapsed="false">
      <c r="A562" s="17"/>
      <c r="B562" s="17"/>
      <c r="C562" s="17"/>
      <c r="D562" s="17"/>
      <c r="E562" s="17"/>
      <c r="F562" s="17"/>
      <c r="G562" s="17"/>
      <c r="H562" s="17"/>
      <c r="I562" s="17"/>
      <c r="J562" s="6" t="str">
        <f aca="false">IF(F562="","",IF(AND(F562&gt;=4,G562&gt;=4,H562&gt;=4,I562&gt;=4),"Proficient",IF(AND(F562&lt;=2,G562&lt;=2,H562&lt;=2,I562&lt;=2),"Emerging","Progressing")))</f>
        <v/>
      </c>
      <c r="K562" s="6" t="str">
        <f aca="false">IF(F562="","",IF(J562="Proficient","Yes","No"))</f>
        <v/>
      </c>
      <c r="L562" s="6" t="str">
        <f aca="false">IF(F562="","",INDEX({"Listening","Speaking","Reading","Writing"},MATCH(MIN(F562:I562),F562:I562,0)))</f>
        <v/>
      </c>
      <c r="M562" s="17"/>
      <c r="N562" s="6" t="str">
        <f aca="false">IF(OR(F562="",M562=""),"",ROUND(AVERAGE(F562:I562)-M562,1))</f>
        <v/>
      </c>
      <c r="O562" s="17"/>
      <c r="P562" s="17"/>
      <c r="Q562" s="17"/>
    </row>
    <row r="563" customFormat="false" ht="15" hidden="false" customHeight="true" outlineLevel="0" collapsed="false">
      <c r="A563" s="17"/>
      <c r="B563" s="17"/>
      <c r="C563" s="17"/>
      <c r="D563" s="17"/>
      <c r="E563" s="17"/>
      <c r="F563" s="17"/>
      <c r="G563" s="17"/>
      <c r="H563" s="17"/>
      <c r="I563" s="17"/>
      <c r="J563" s="6" t="str">
        <f aca="false">IF(F563="","",IF(AND(F563&gt;=4,G563&gt;=4,H563&gt;=4,I563&gt;=4),"Proficient",IF(AND(F563&lt;=2,G563&lt;=2,H563&lt;=2,I563&lt;=2),"Emerging","Progressing")))</f>
        <v/>
      </c>
      <c r="K563" s="6" t="str">
        <f aca="false">IF(F563="","",IF(J563="Proficient","Yes","No"))</f>
        <v/>
      </c>
      <c r="L563" s="6" t="str">
        <f aca="false">IF(F563="","",INDEX({"Listening","Speaking","Reading","Writing"},MATCH(MIN(F563:I563),F563:I563,0)))</f>
        <v/>
      </c>
      <c r="M563" s="17"/>
      <c r="N563" s="6" t="str">
        <f aca="false">IF(OR(F563="",M563=""),"",ROUND(AVERAGE(F563:I563)-M563,1))</f>
        <v/>
      </c>
      <c r="O563" s="17"/>
      <c r="P563" s="17"/>
      <c r="Q563" s="17"/>
    </row>
    <row r="564" customFormat="false" ht="15" hidden="false" customHeight="true" outlineLevel="0" collapsed="false">
      <c r="A564" s="17"/>
      <c r="B564" s="17"/>
      <c r="C564" s="17"/>
      <c r="D564" s="17"/>
      <c r="E564" s="17"/>
      <c r="F564" s="17"/>
      <c r="G564" s="17"/>
      <c r="H564" s="17"/>
      <c r="I564" s="17"/>
      <c r="J564" s="6" t="str">
        <f aca="false">IF(F564="","",IF(AND(F564&gt;=4,G564&gt;=4,H564&gt;=4,I564&gt;=4),"Proficient",IF(AND(F564&lt;=2,G564&lt;=2,H564&lt;=2,I564&lt;=2),"Emerging","Progressing")))</f>
        <v/>
      </c>
      <c r="K564" s="6" t="str">
        <f aca="false">IF(F564="","",IF(J564="Proficient","Yes","No"))</f>
        <v/>
      </c>
      <c r="L564" s="6" t="str">
        <f aca="false">IF(F564="","",INDEX({"Listening","Speaking","Reading","Writing"},MATCH(MIN(F564:I564),F564:I564,0)))</f>
        <v/>
      </c>
      <c r="M564" s="17"/>
      <c r="N564" s="6" t="str">
        <f aca="false">IF(OR(F564="",M564=""),"",ROUND(AVERAGE(F564:I564)-M564,1))</f>
        <v/>
      </c>
      <c r="O564" s="17"/>
      <c r="P564" s="17"/>
      <c r="Q564" s="17"/>
    </row>
    <row r="565" customFormat="false" ht="15" hidden="false" customHeight="true" outlineLevel="0" collapsed="false">
      <c r="A565" s="17"/>
      <c r="B565" s="17"/>
      <c r="C565" s="17"/>
      <c r="D565" s="17"/>
      <c r="E565" s="17"/>
      <c r="F565" s="17"/>
      <c r="G565" s="17"/>
      <c r="H565" s="17"/>
      <c r="I565" s="17"/>
      <c r="J565" s="6" t="str">
        <f aca="false">IF(F565="","",IF(AND(F565&gt;=4,G565&gt;=4,H565&gt;=4,I565&gt;=4),"Proficient",IF(AND(F565&lt;=2,G565&lt;=2,H565&lt;=2,I565&lt;=2),"Emerging","Progressing")))</f>
        <v/>
      </c>
      <c r="K565" s="6" t="str">
        <f aca="false">IF(F565="","",IF(J565="Proficient","Yes","No"))</f>
        <v/>
      </c>
      <c r="L565" s="6" t="str">
        <f aca="false">IF(F565="","",INDEX({"Listening","Speaking","Reading","Writing"},MATCH(MIN(F565:I565),F565:I565,0)))</f>
        <v/>
      </c>
      <c r="M565" s="17"/>
      <c r="N565" s="6" t="str">
        <f aca="false">IF(OR(F565="",M565=""),"",ROUND(AVERAGE(F565:I565)-M565,1))</f>
        <v/>
      </c>
      <c r="O565" s="17"/>
      <c r="P565" s="17"/>
      <c r="Q565" s="17"/>
    </row>
    <row r="566" customFormat="false" ht="15" hidden="false" customHeight="true" outlineLevel="0" collapsed="false">
      <c r="A566" s="17"/>
      <c r="B566" s="17"/>
      <c r="C566" s="17"/>
      <c r="D566" s="17"/>
      <c r="E566" s="17"/>
      <c r="F566" s="17"/>
      <c r="G566" s="17"/>
      <c r="H566" s="17"/>
      <c r="I566" s="17"/>
      <c r="J566" s="6" t="str">
        <f aca="false">IF(F566="","",IF(AND(F566&gt;=4,G566&gt;=4,H566&gt;=4,I566&gt;=4),"Proficient",IF(AND(F566&lt;=2,G566&lt;=2,H566&lt;=2,I566&lt;=2),"Emerging","Progressing")))</f>
        <v/>
      </c>
      <c r="K566" s="6" t="str">
        <f aca="false">IF(F566="","",IF(J566="Proficient","Yes","No"))</f>
        <v/>
      </c>
      <c r="L566" s="6" t="str">
        <f aca="false">IF(F566="","",INDEX({"Listening","Speaking","Reading","Writing"},MATCH(MIN(F566:I566),F566:I566,0)))</f>
        <v/>
      </c>
      <c r="M566" s="17"/>
      <c r="N566" s="6" t="str">
        <f aca="false">IF(OR(F566="",M566=""),"",ROUND(AVERAGE(F566:I566)-M566,1))</f>
        <v/>
      </c>
      <c r="O566" s="17"/>
      <c r="P566" s="17"/>
      <c r="Q566" s="17"/>
    </row>
    <row r="567" customFormat="false" ht="15" hidden="false" customHeight="true" outlineLevel="0" collapsed="false">
      <c r="A567" s="17"/>
      <c r="B567" s="17"/>
      <c r="C567" s="17"/>
      <c r="D567" s="17"/>
      <c r="E567" s="17"/>
      <c r="F567" s="17"/>
      <c r="G567" s="17"/>
      <c r="H567" s="17"/>
      <c r="I567" s="17"/>
      <c r="J567" s="6" t="str">
        <f aca="false">IF(F567="","",IF(AND(F567&gt;=4,G567&gt;=4,H567&gt;=4,I567&gt;=4),"Proficient",IF(AND(F567&lt;=2,G567&lt;=2,H567&lt;=2,I567&lt;=2),"Emerging","Progressing")))</f>
        <v/>
      </c>
      <c r="K567" s="6" t="str">
        <f aca="false">IF(F567="","",IF(J567="Proficient","Yes","No"))</f>
        <v/>
      </c>
      <c r="L567" s="6" t="str">
        <f aca="false">IF(F567="","",INDEX({"Listening","Speaking","Reading","Writing"},MATCH(MIN(F567:I567),F567:I567,0)))</f>
        <v/>
      </c>
      <c r="M567" s="17"/>
      <c r="N567" s="6" t="str">
        <f aca="false">IF(OR(F567="",M567=""),"",ROUND(AVERAGE(F567:I567)-M567,1))</f>
        <v/>
      </c>
      <c r="O567" s="17"/>
      <c r="P567" s="17"/>
      <c r="Q567" s="17"/>
    </row>
    <row r="568" customFormat="false" ht="15" hidden="false" customHeight="true" outlineLevel="0" collapsed="false">
      <c r="A568" s="17"/>
      <c r="B568" s="17"/>
      <c r="C568" s="17"/>
      <c r="D568" s="17"/>
      <c r="E568" s="17"/>
      <c r="F568" s="17"/>
      <c r="G568" s="17"/>
      <c r="H568" s="17"/>
      <c r="I568" s="17"/>
      <c r="J568" s="6" t="str">
        <f aca="false">IF(F568="","",IF(AND(F568&gt;=4,G568&gt;=4,H568&gt;=4,I568&gt;=4),"Proficient",IF(AND(F568&lt;=2,G568&lt;=2,H568&lt;=2,I568&lt;=2),"Emerging","Progressing")))</f>
        <v/>
      </c>
      <c r="K568" s="6" t="str">
        <f aca="false">IF(F568="","",IF(J568="Proficient","Yes","No"))</f>
        <v/>
      </c>
      <c r="L568" s="6" t="str">
        <f aca="false">IF(F568="","",INDEX({"Listening","Speaking","Reading","Writing"},MATCH(MIN(F568:I568),F568:I568,0)))</f>
        <v/>
      </c>
      <c r="M568" s="17"/>
      <c r="N568" s="6" t="str">
        <f aca="false">IF(OR(F568="",M568=""),"",ROUND(AVERAGE(F568:I568)-M568,1))</f>
        <v/>
      </c>
      <c r="O568" s="17"/>
      <c r="P568" s="17"/>
      <c r="Q568" s="17"/>
    </row>
    <row r="569" customFormat="false" ht="15" hidden="false" customHeight="true" outlineLevel="0" collapsed="false">
      <c r="A569" s="17"/>
      <c r="B569" s="17"/>
      <c r="C569" s="17"/>
      <c r="D569" s="17"/>
      <c r="E569" s="17"/>
      <c r="F569" s="17"/>
      <c r="G569" s="17"/>
      <c r="H569" s="17"/>
      <c r="I569" s="17"/>
      <c r="J569" s="6" t="str">
        <f aca="false">IF(F569="","",IF(AND(F569&gt;=4,G569&gt;=4,H569&gt;=4,I569&gt;=4),"Proficient",IF(AND(F569&lt;=2,G569&lt;=2,H569&lt;=2,I569&lt;=2),"Emerging","Progressing")))</f>
        <v/>
      </c>
      <c r="K569" s="6" t="str">
        <f aca="false">IF(F569="","",IF(J569="Proficient","Yes","No"))</f>
        <v/>
      </c>
      <c r="L569" s="6" t="str">
        <f aca="false">IF(F569="","",INDEX({"Listening","Speaking","Reading","Writing"},MATCH(MIN(F569:I569),F569:I569,0)))</f>
        <v/>
      </c>
      <c r="M569" s="17"/>
      <c r="N569" s="6" t="str">
        <f aca="false">IF(OR(F569="",M569=""),"",ROUND(AVERAGE(F569:I569)-M569,1))</f>
        <v/>
      </c>
      <c r="O569" s="17"/>
      <c r="P569" s="17"/>
      <c r="Q569" s="17"/>
    </row>
    <row r="570" customFormat="false" ht="15" hidden="false" customHeight="true" outlineLevel="0" collapsed="false">
      <c r="A570" s="17"/>
      <c r="B570" s="17"/>
      <c r="C570" s="17"/>
      <c r="D570" s="17"/>
      <c r="E570" s="17"/>
      <c r="F570" s="17"/>
      <c r="G570" s="17"/>
      <c r="H570" s="17"/>
      <c r="I570" s="17"/>
      <c r="J570" s="6" t="str">
        <f aca="false">IF(F570="","",IF(AND(F570&gt;=4,G570&gt;=4,H570&gt;=4,I570&gt;=4),"Proficient",IF(AND(F570&lt;=2,G570&lt;=2,H570&lt;=2,I570&lt;=2),"Emerging","Progressing")))</f>
        <v/>
      </c>
      <c r="K570" s="6" t="str">
        <f aca="false">IF(F570="","",IF(J570="Proficient","Yes","No"))</f>
        <v/>
      </c>
      <c r="L570" s="6" t="str">
        <f aca="false">IF(F570="","",INDEX({"Listening","Speaking","Reading","Writing"},MATCH(MIN(F570:I570),F570:I570,0)))</f>
        <v/>
      </c>
      <c r="M570" s="17"/>
      <c r="N570" s="6" t="str">
        <f aca="false">IF(OR(F570="",M570=""),"",ROUND(AVERAGE(F570:I570)-M570,1))</f>
        <v/>
      </c>
      <c r="O570" s="17"/>
      <c r="P570" s="17"/>
      <c r="Q570" s="17"/>
    </row>
    <row r="571" customFormat="false" ht="15" hidden="false" customHeight="true" outlineLevel="0" collapsed="false">
      <c r="A571" s="17"/>
      <c r="B571" s="17"/>
      <c r="C571" s="17"/>
      <c r="D571" s="17"/>
      <c r="E571" s="17"/>
      <c r="F571" s="17"/>
      <c r="G571" s="17"/>
      <c r="H571" s="17"/>
      <c r="I571" s="17"/>
      <c r="J571" s="6" t="str">
        <f aca="false">IF(F571="","",IF(AND(F571&gt;=4,G571&gt;=4,H571&gt;=4,I571&gt;=4),"Proficient",IF(AND(F571&lt;=2,G571&lt;=2,H571&lt;=2,I571&lt;=2),"Emerging","Progressing")))</f>
        <v/>
      </c>
      <c r="K571" s="6" t="str">
        <f aca="false">IF(F571="","",IF(J571="Proficient","Yes","No"))</f>
        <v/>
      </c>
      <c r="L571" s="6" t="str">
        <f aca="false">IF(F571="","",INDEX({"Listening","Speaking","Reading","Writing"},MATCH(MIN(F571:I571),F571:I571,0)))</f>
        <v/>
      </c>
      <c r="M571" s="17"/>
      <c r="N571" s="6" t="str">
        <f aca="false">IF(OR(F571="",M571=""),"",ROUND(AVERAGE(F571:I571)-M571,1))</f>
        <v/>
      </c>
      <c r="O571" s="17"/>
      <c r="P571" s="17"/>
      <c r="Q571" s="17"/>
    </row>
    <row r="572" customFormat="false" ht="15" hidden="false" customHeight="true" outlineLevel="0" collapsed="false">
      <c r="A572" s="17"/>
      <c r="B572" s="17"/>
      <c r="C572" s="17"/>
      <c r="D572" s="17"/>
      <c r="E572" s="17"/>
      <c r="F572" s="17"/>
      <c r="G572" s="17"/>
      <c r="H572" s="17"/>
      <c r="I572" s="17"/>
      <c r="J572" s="6" t="str">
        <f aca="false">IF(F572="","",IF(AND(F572&gt;=4,G572&gt;=4,H572&gt;=4,I572&gt;=4),"Proficient",IF(AND(F572&lt;=2,G572&lt;=2,H572&lt;=2,I572&lt;=2),"Emerging","Progressing")))</f>
        <v/>
      </c>
      <c r="K572" s="6" t="str">
        <f aca="false">IF(F572="","",IF(J572="Proficient","Yes","No"))</f>
        <v/>
      </c>
      <c r="L572" s="6" t="str">
        <f aca="false">IF(F572="","",INDEX({"Listening","Speaking","Reading","Writing"},MATCH(MIN(F572:I572),F572:I572,0)))</f>
        <v/>
      </c>
      <c r="M572" s="17"/>
      <c r="N572" s="6" t="str">
        <f aca="false">IF(OR(F572="",M572=""),"",ROUND(AVERAGE(F572:I572)-M572,1))</f>
        <v/>
      </c>
      <c r="O572" s="17"/>
      <c r="P572" s="17"/>
      <c r="Q572" s="17"/>
    </row>
    <row r="573" customFormat="false" ht="15" hidden="false" customHeight="true" outlineLevel="0" collapsed="false">
      <c r="A573" s="17"/>
      <c r="B573" s="17"/>
      <c r="C573" s="17"/>
      <c r="D573" s="17"/>
      <c r="E573" s="17"/>
      <c r="F573" s="17"/>
      <c r="G573" s="17"/>
      <c r="H573" s="17"/>
      <c r="I573" s="17"/>
      <c r="J573" s="6" t="str">
        <f aca="false">IF(F573="","",IF(AND(F573&gt;=4,G573&gt;=4,H573&gt;=4,I573&gt;=4),"Proficient",IF(AND(F573&lt;=2,G573&lt;=2,H573&lt;=2,I573&lt;=2),"Emerging","Progressing")))</f>
        <v/>
      </c>
      <c r="K573" s="6" t="str">
        <f aca="false">IF(F573="","",IF(J573="Proficient","Yes","No"))</f>
        <v/>
      </c>
      <c r="L573" s="6" t="str">
        <f aca="false">IF(F573="","",INDEX({"Listening","Speaking","Reading","Writing"},MATCH(MIN(F573:I573),F573:I573,0)))</f>
        <v/>
      </c>
      <c r="M573" s="17"/>
      <c r="N573" s="6" t="str">
        <f aca="false">IF(OR(F573="",M573=""),"",ROUND(AVERAGE(F573:I573)-M573,1))</f>
        <v/>
      </c>
      <c r="O573" s="17"/>
      <c r="P573" s="17"/>
      <c r="Q573" s="17"/>
    </row>
    <row r="574" customFormat="false" ht="15" hidden="false" customHeight="true" outlineLevel="0" collapsed="false">
      <c r="A574" s="17"/>
      <c r="B574" s="17"/>
      <c r="C574" s="17"/>
      <c r="D574" s="17"/>
      <c r="E574" s="17"/>
      <c r="F574" s="17"/>
      <c r="G574" s="17"/>
      <c r="H574" s="17"/>
      <c r="I574" s="17"/>
      <c r="J574" s="6" t="str">
        <f aca="false">IF(F574="","",IF(AND(F574&gt;=4,G574&gt;=4,H574&gt;=4,I574&gt;=4),"Proficient",IF(AND(F574&lt;=2,G574&lt;=2,H574&lt;=2,I574&lt;=2),"Emerging","Progressing")))</f>
        <v/>
      </c>
      <c r="K574" s="6" t="str">
        <f aca="false">IF(F574="","",IF(J574="Proficient","Yes","No"))</f>
        <v/>
      </c>
      <c r="L574" s="6" t="str">
        <f aca="false">IF(F574="","",INDEX({"Listening","Speaking","Reading","Writing"},MATCH(MIN(F574:I574),F574:I574,0)))</f>
        <v/>
      </c>
      <c r="M574" s="17"/>
      <c r="N574" s="6" t="str">
        <f aca="false">IF(OR(F574="",M574=""),"",ROUND(AVERAGE(F574:I574)-M574,1))</f>
        <v/>
      </c>
      <c r="O574" s="17"/>
      <c r="P574" s="17"/>
      <c r="Q574" s="17"/>
    </row>
    <row r="575" customFormat="false" ht="15" hidden="false" customHeight="true" outlineLevel="0" collapsed="false">
      <c r="A575" s="17"/>
      <c r="B575" s="17"/>
      <c r="C575" s="17"/>
      <c r="D575" s="17"/>
      <c r="E575" s="17"/>
      <c r="F575" s="17"/>
      <c r="G575" s="17"/>
      <c r="H575" s="17"/>
      <c r="I575" s="17"/>
      <c r="J575" s="6" t="str">
        <f aca="false">IF(F575="","",IF(AND(F575&gt;=4,G575&gt;=4,H575&gt;=4,I575&gt;=4),"Proficient",IF(AND(F575&lt;=2,G575&lt;=2,H575&lt;=2,I575&lt;=2),"Emerging","Progressing")))</f>
        <v/>
      </c>
      <c r="K575" s="6" t="str">
        <f aca="false">IF(F575="","",IF(J575="Proficient","Yes","No"))</f>
        <v/>
      </c>
      <c r="L575" s="6" t="str">
        <f aca="false">IF(F575="","",INDEX({"Listening","Speaking","Reading","Writing"},MATCH(MIN(F575:I575),F575:I575,0)))</f>
        <v/>
      </c>
      <c r="M575" s="17"/>
      <c r="N575" s="6" t="str">
        <f aca="false">IF(OR(F575="",M575=""),"",ROUND(AVERAGE(F575:I575)-M575,1))</f>
        <v/>
      </c>
      <c r="O575" s="17"/>
      <c r="P575" s="17"/>
      <c r="Q575" s="17"/>
    </row>
    <row r="576" customFormat="false" ht="15" hidden="false" customHeight="true" outlineLevel="0" collapsed="false">
      <c r="A576" s="17"/>
      <c r="B576" s="17"/>
      <c r="C576" s="17"/>
      <c r="D576" s="17"/>
      <c r="E576" s="17"/>
      <c r="F576" s="17"/>
      <c r="G576" s="17"/>
      <c r="H576" s="17"/>
      <c r="I576" s="17"/>
      <c r="J576" s="6" t="str">
        <f aca="false">IF(F576="","",IF(AND(F576&gt;=4,G576&gt;=4,H576&gt;=4,I576&gt;=4),"Proficient",IF(AND(F576&lt;=2,G576&lt;=2,H576&lt;=2,I576&lt;=2),"Emerging","Progressing")))</f>
        <v/>
      </c>
      <c r="K576" s="6" t="str">
        <f aca="false">IF(F576="","",IF(J576="Proficient","Yes","No"))</f>
        <v/>
      </c>
      <c r="L576" s="6" t="str">
        <f aca="false">IF(F576="","",INDEX({"Listening","Speaking","Reading","Writing"},MATCH(MIN(F576:I576),F576:I576,0)))</f>
        <v/>
      </c>
      <c r="M576" s="17"/>
      <c r="N576" s="6" t="str">
        <f aca="false">IF(OR(F576="",M576=""),"",ROUND(AVERAGE(F576:I576)-M576,1))</f>
        <v/>
      </c>
      <c r="O576" s="17"/>
      <c r="P576" s="17"/>
      <c r="Q576" s="17"/>
    </row>
    <row r="577" customFormat="false" ht="15" hidden="false" customHeight="true" outlineLevel="0" collapsed="false">
      <c r="A577" s="17"/>
      <c r="B577" s="17"/>
      <c r="C577" s="17"/>
      <c r="D577" s="17"/>
      <c r="E577" s="17"/>
      <c r="F577" s="17"/>
      <c r="G577" s="17"/>
      <c r="H577" s="17"/>
      <c r="I577" s="17"/>
      <c r="J577" s="6" t="str">
        <f aca="false">IF(F577="","",IF(AND(F577&gt;=4,G577&gt;=4,H577&gt;=4,I577&gt;=4),"Proficient",IF(AND(F577&lt;=2,G577&lt;=2,H577&lt;=2,I577&lt;=2),"Emerging","Progressing")))</f>
        <v/>
      </c>
      <c r="K577" s="6" t="str">
        <f aca="false">IF(F577="","",IF(J577="Proficient","Yes","No"))</f>
        <v/>
      </c>
      <c r="L577" s="6" t="str">
        <f aca="false">IF(F577="","",INDEX({"Listening","Speaking","Reading","Writing"},MATCH(MIN(F577:I577),F577:I577,0)))</f>
        <v/>
      </c>
      <c r="M577" s="17"/>
      <c r="N577" s="6" t="str">
        <f aca="false">IF(OR(F577="",M577=""),"",ROUND(AVERAGE(F577:I577)-M577,1))</f>
        <v/>
      </c>
      <c r="O577" s="17"/>
      <c r="P577" s="17"/>
      <c r="Q577" s="17"/>
    </row>
    <row r="578" customFormat="false" ht="15" hidden="false" customHeight="true" outlineLevel="0" collapsed="false">
      <c r="A578" s="17"/>
      <c r="B578" s="17"/>
      <c r="C578" s="17"/>
      <c r="D578" s="17"/>
      <c r="E578" s="17"/>
      <c r="F578" s="17"/>
      <c r="G578" s="17"/>
      <c r="H578" s="17"/>
      <c r="I578" s="17"/>
      <c r="J578" s="6" t="str">
        <f aca="false">IF(F578="","",IF(AND(F578&gt;=4,G578&gt;=4,H578&gt;=4,I578&gt;=4),"Proficient",IF(AND(F578&lt;=2,G578&lt;=2,H578&lt;=2,I578&lt;=2),"Emerging","Progressing")))</f>
        <v/>
      </c>
      <c r="K578" s="6" t="str">
        <f aca="false">IF(F578="","",IF(J578="Proficient","Yes","No"))</f>
        <v/>
      </c>
      <c r="L578" s="6" t="str">
        <f aca="false">IF(F578="","",INDEX({"Listening","Speaking","Reading","Writing"},MATCH(MIN(F578:I578),F578:I578,0)))</f>
        <v/>
      </c>
      <c r="M578" s="17"/>
      <c r="N578" s="6" t="str">
        <f aca="false">IF(OR(F578="",M578=""),"",ROUND(AVERAGE(F578:I578)-M578,1))</f>
        <v/>
      </c>
      <c r="O578" s="17"/>
      <c r="P578" s="17"/>
      <c r="Q578" s="17"/>
    </row>
    <row r="579" customFormat="false" ht="15" hidden="false" customHeight="true" outlineLevel="0" collapsed="false">
      <c r="A579" s="17"/>
      <c r="B579" s="17"/>
      <c r="C579" s="17"/>
      <c r="D579" s="17"/>
      <c r="E579" s="17"/>
      <c r="F579" s="17"/>
      <c r="G579" s="17"/>
      <c r="H579" s="17"/>
      <c r="I579" s="17"/>
      <c r="J579" s="6" t="str">
        <f aca="false">IF(F579="","",IF(AND(F579&gt;=4,G579&gt;=4,H579&gt;=4,I579&gt;=4),"Proficient",IF(AND(F579&lt;=2,G579&lt;=2,H579&lt;=2,I579&lt;=2),"Emerging","Progressing")))</f>
        <v/>
      </c>
      <c r="K579" s="6" t="str">
        <f aca="false">IF(F579="","",IF(J579="Proficient","Yes","No"))</f>
        <v/>
      </c>
      <c r="L579" s="6" t="str">
        <f aca="false">IF(F579="","",INDEX({"Listening","Speaking","Reading","Writing"},MATCH(MIN(F579:I579),F579:I579,0)))</f>
        <v/>
      </c>
      <c r="M579" s="17"/>
      <c r="N579" s="6" t="str">
        <f aca="false">IF(OR(F579="",M579=""),"",ROUND(AVERAGE(F579:I579)-M579,1))</f>
        <v/>
      </c>
      <c r="O579" s="17"/>
      <c r="P579" s="17"/>
      <c r="Q579" s="17"/>
    </row>
    <row r="580" customFormat="false" ht="15" hidden="false" customHeight="true" outlineLevel="0" collapsed="false">
      <c r="A580" s="17"/>
      <c r="B580" s="17"/>
      <c r="C580" s="17"/>
      <c r="D580" s="17"/>
      <c r="E580" s="17"/>
      <c r="F580" s="17"/>
      <c r="G580" s="17"/>
      <c r="H580" s="17"/>
      <c r="I580" s="17"/>
      <c r="J580" s="6" t="str">
        <f aca="false">IF(F580="","",IF(AND(F580&gt;=4,G580&gt;=4,H580&gt;=4,I580&gt;=4),"Proficient",IF(AND(F580&lt;=2,G580&lt;=2,H580&lt;=2,I580&lt;=2),"Emerging","Progressing")))</f>
        <v/>
      </c>
      <c r="K580" s="6" t="str">
        <f aca="false">IF(F580="","",IF(J580="Proficient","Yes","No"))</f>
        <v/>
      </c>
      <c r="L580" s="6" t="str">
        <f aca="false">IF(F580="","",INDEX({"Listening","Speaking","Reading","Writing"},MATCH(MIN(F580:I580),F580:I580,0)))</f>
        <v/>
      </c>
      <c r="M580" s="17"/>
      <c r="N580" s="6" t="str">
        <f aca="false">IF(OR(F580="",M580=""),"",ROUND(AVERAGE(F580:I580)-M580,1))</f>
        <v/>
      </c>
      <c r="O580" s="17"/>
      <c r="P580" s="17"/>
      <c r="Q580" s="17"/>
    </row>
    <row r="581" customFormat="false" ht="15" hidden="false" customHeight="true" outlineLevel="0" collapsed="false">
      <c r="A581" s="17"/>
      <c r="B581" s="17"/>
      <c r="C581" s="17"/>
      <c r="D581" s="17"/>
      <c r="E581" s="17"/>
      <c r="F581" s="17"/>
      <c r="G581" s="17"/>
      <c r="H581" s="17"/>
      <c r="I581" s="17"/>
      <c r="J581" s="6" t="str">
        <f aca="false">IF(F581="","",IF(AND(F581&gt;=4,G581&gt;=4,H581&gt;=4,I581&gt;=4),"Proficient",IF(AND(F581&lt;=2,G581&lt;=2,H581&lt;=2,I581&lt;=2),"Emerging","Progressing")))</f>
        <v/>
      </c>
      <c r="K581" s="6" t="str">
        <f aca="false">IF(F581="","",IF(J581="Proficient","Yes","No"))</f>
        <v/>
      </c>
      <c r="L581" s="6" t="str">
        <f aca="false">IF(F581="","",INDEX({"Listening","Speaking","Reading","Writing"},MATCH(MIN(F581:I581),F581:I581,0)))</f>
        <v/>
      </c>
      <c r="M581" s="17"/>
      <c r="N581" s="6" t="str">
        <f aca="false">IF(OR(F581="",M581=""),"",ROUND(AVERAGE(F581:I581)-M581,1))</f>
        <v/>
      </c>
      <c r="O581" s="17"/>
      <c r="P581" s="17"/>
      <c r="Q581" s="17"/>
    </row>
    <row r="582" customFormat="false" ht="15" hidden="false" customHeight="true" outlineLevel="0" collapsed="false">
      <c r="A582" s="17"/>
      <c r="B582" s="17"/>
      <c r="C582" s="17"/>
      <c r="D582" s="17"/>
      <c r="E582" s="17"/>
      <c r="F582" s="17"/>
      <c r="G582" s="17"/>
      <c r="H582" s="17"/>
      <c r="I582" s="17"/>
      <c r="J582" s="6" t="str">
        <f aca="false">IF(F582="","",IF(AND(F582&gt;=4,G582&gt;=4,H582&gt;=4,I582&gt;=4),"Proficient",IF(AND(F582&lt;=2,G582&lt;=2,H582&lt;=2,I582&lt;=2),"Emerging","Progressing")))</f>
        <v/>
      </c>
      <c r="K582" s="6" t="str">
        <f aca="false">IF(F582="","",IF(J582="Proficient","Yes","No"))</f>
        <v/>
      </c>
      <c r="L582" s="6" t="str">
        <f aca="false">IF(F582="","",INDEX({"Listening","Speaking","Reading","Writing"},MATCH(MIN(F582:I582),F582:I582,0)))</f>
        <v/>
      </c>
      <c r="M582" s="17"/>
      <c r="N582" s="6" t="str">
        <f aca="false">IF(OR(F582="",M582=""),"",ROUND(AVERAGE(F582:I582)-M582,1))</f>
        <v/>
      </c>
      <c r="O582" s="17"/>
      <c r="P582" s="17"/>
      <c r="Q582" s="17"/>
    </row>
    <row r="583" customFormat="false" ht="15" hidden="false" customHeight="true" outlineLevel="0" collapsed="false">
      <c r="A583" s="17"/>
      <c r="B583" s="17"/>
      <c r="C583" s="17"/>
      <c r="D583" s="17"/>
      <c r="E583" s="17"/>
      <c r="F583" s="17"/>
      <c r="G583" s="17"/>
      <c r="H583" s="17"/>
      <c r="I583" s="17"/>
      <c r="J583" s="6" t="str">
        <f aca="false">IF(F583="","",IF(AND(F583&gt;=4,G583&gt;=4,H583&gt;=4,I583&gt;=4),"Proficient",IF(AND(F583&lt;=2,G583&lt;=2,H583&lt;=2,I583&lt;=2),"Emerging","Progressing")))</f>
        <v/>
      </c>
      <c r="K583" s="6" t="str">
        <f aca="false">IF(F583="","",IF(J583="Proficient","Yes","No"))</f>
        <v/>
      </c>
      <c r="L583" s="6" t="str">
        <f aca="false">IF(F583="","",INDEX({"Listening","Speaking","Reading","Writing"},MATCH(MIN(F583:I583),F583:I583,0)))</f>
        <v/>
      </c>
      <c r="M583" s="17"/>
      <c r="N583" s="6" t="str">
        <f aca="false">IF(OR(F583="",M583=""),"",ROUND(AVERAGE(F583:I583)-M583,1))</f>
        <v/>
      </c>
      <c r="O583" s="17"/>
      <c r="P583" s="17"/>
      <c r="Q583" s="17"/>
    </row>
    <row r="584" customFormat="false" ht="15" hidden="false" customHeight="true" outlineLevel="0" collapsed="false">
      <c r="A584" s="17"/>
      <c r="B584" s="17"/>
      <c r="C584" s="17"/>
      <c r="D584" s="17"/>
      <c r="E584" s="17"/>
      <c r="F584" s="17"/>
      <c r="G584" s="17"/>
      <c r="H584" s="17"/>
      <c r="I584" s="17"/>
      <c r="J584" s="6" t="str">
        <f aca="false">IF(F584="","",IF(AND(F584&gt;=4,G584&gt;=4,H584&gt;=4,I584&gt;=4),"Proficient",IF(AND(F584&lt;=2,G584&lt;=2,H584&lt;=2,I584&lt;=2),"Emerging","Progressing")))</f>
        <v/>
      </c>
      <c r="K584" s="6" t="str">
        <f aca="false">IF(F584="","",IF(J584="Proficient","Yes","No"))</f>
        <v/>
      </c>
      <c r="L584" s="6" t="str">
        <f aca="false">IF(F584="","",INDEX({"Listening","Speaking","Reading","Writing"},MATCH(MIN(F584:I584),F584:I584,0)))</f>
        <v/>
      </c>
      <c r="M584" s="17"/>
      <c r="N584" s="6" t="str">
        <f aca="false">IF(OR(F584="",M584=""),"",ROUND(AVERAGE(F584:I584)-M584,1))</f>
        <v/>
      </c>
      <c r="O584" s="17"/>
      <c r="P584" s="17"/>
      <c r="Q584" s="17"/>
    </row>
    <row r="585" customFormat="false" ht="15" hidden="false" customHeight="true" outlineLevel="0" collapsed="false">
      <c r="A585" s="17"/>
      <c r="B585" s="17"/>
      <c r="C585" s="17"/>
      <c r="D585" s="17"/>
      <c r="E585" s="17"/>
      <c r="F585" s="17"/>
      <c r="G585" s="17"/>
      <c r="H585" s="17"/>
      <c r="I585" s="17"/>
      <c r="J585" s="6" t="str">
        <f aca="false">IF(F585="","",IF(AND(F585&gt;=4,G585&gt;=4,H585&gt;=4,I585&gt;=4),"Proficient",IF(AND(F585&lt;=2,G585&lt;=2,H585&lt;=2,I585&lt;=2),"Emerging","Progressing")))</f>
        <v/>
      </c>
      <c r="K585" s="6" t="str">
        <f aca="false">IF(F585="","",IF(J585="Proficient","Yes","No"))</f>
        <v/>
      </c>
      <c r="L585" s="6" t="str">
        <f aca="false">IF(F585="","",INDEX({"Listening","Speaking","Reading","Writing"},MATCH(MIN(F585:I585),F585:I585,0)))</f>
        <v/>
      </c>
      <c r="M585" s="17"/>
      <c r="N585" s="6" t="str">
        <f aca="false">IF(OR(F585="",M585=""),"",ROUND(AVERAGE(F585:I585)-M585,1))</f>
        <v/>
      </c>
      <c r="O585" s="17"/>
      <c r="P585" s="17"/>
      <c r="Q585" s="17"/>
    </row>
    <row r="586" customFormat="false" ht="15" hidden="false" customHeight="true" outlineLevel="0" collapsed="false">
      <c r="A586" s="17"/>
      <c r="B586" s="17"/>
      <c r="C586" s="17"/>
      <c r="D586" s="17"/>
      <c r="E586" s="17"/>
      <c r="F586" s="17"/>
      <c r="G586" s="17"/>
      <c r="H586" s="17"/>
      <c r="I586" s="17"/>
      <c r="J586" s="6" t="str">
        <f aca="false">IF(F586="","",IF(AND(F586&gt;=4,G586&gt;=4,H586&gt;=4,I586&gt;=4),"Proficient",IF(AND(F586&lt;=2,G586&lt;=2,H586&lt;=2,I586&lt;=2),"Emerging","Progressing")))</f>
        <v/>
      </c>
      <c r="K586" s="6" t="str">
        <f aca="false">IF(F586="","",IF(J586="Proficient","Yes","No"))</f>
        <v/>
      </c>
      <c r="L586" s="6" t="str">
        <f aca="false">IF(F586="","",INDEX({"Listening","Speaking","Reading","Writing"},MATCH(MIN(F586:I586),F586:I586,0)))</f>
        <v/>
      </c>
      <c r="M586" s="17"/>
      <c r="N586" s="6" t="str">
        <f aca="false">IF(OR(F586="",M586=""),"",ROUND(AVERAGE(F586:I586)-M586,1))</f>
        <v/>
      </c>
      <c r="O586" s="17"/>
      <c r="P586" s="17"/>
      <c r="Q586" s="17"/>
    </row>
    <row r="587" customFormat="false" ht="15" hidden="false" customHeight="true" outlineLevel="0" collapsed="false">
      <c r="A587" s="17"/>
      <c r="B587" s="17"/>
      <c r="C587" s="17"/>
      <c r="D587" s="17"/>
      <c r="E587" s="17"/>
      <c r="F587" s="17"/>
      <c r="G587" s="17"/>
      <c r="H587" s="17"/>
      <c r="I587" s="17"/>
      <c r="J587" s="6" t="str">
        <f aca="false">IF(F587="","",IF(AND(F587&gt;=4,G587&gt;=4,H587&gt;=4,I587&gt;=4),"Proficient",IF(AND(F587&lt;=2,G587&lt;=2,H587&lt;=2,I587&lt;=2),"Emerging","Progressing")))</f>
        <v/>
      </c>
      <c r="K587" s="6" t="str">
        <f aca="false">IF(F587="","",IF(J587="Proficient","Yes","No"))</f>
        <v/>
      </c>
      <c r="L587" s="6" t="str">
        <f aca="false">IF(F587="","",INDEX({"Listening","Speaking","Reading","Writing"},MATCH(MIN(F587:I587),F587:I587,0)))</f>
        <v/>
      </c>
      <c r="M587" s="17"/>
      <c r="N587" s="6" t="str">
        <f aca="false">IF(OR(F587="",M587=""),"",ROUND(AVERAGE(F587:I587)-M587,1))</f>
        <v/>
      </c>
      <c r="O587" s="17"/>
      <c r="P587" s="17"/>
      <c r="Q587" s="17"/>
    </row>
    <row r="588" customFormat="false" ht="15" hidden="false" customHeight="true" outlineLevel="0" collapsed="false">
      <c r="A588" s="17"/>
      <c r="B588" s="17"/>
      <c r="C588" s="17"/>
      <c r="D588" s="17"/>
      <c r="E588" s="17"/>
      <c r="F588" s="17"/>
      <c r="G588" s="17"/>
      <c r="H588" s="17"/>
      <c r="I588" s="17"/>
      <c r="J588" s="6" t="str">
        <f aca="false">IF(F588="","",IF(AND(F588&gt;=4,G588&gt;=4,H588&gt;=4,I588&gt;=4),"Proficient",IF(AND(F588&lt;=2,G588&lt;=2,H588&lt;=2,I588&lt;=2),"Emerging","Progressing")))</f>
        <v/>
      </c>
      <c r="K588" s="6" t="str">
        <f aca="false">IF(F588="","",IF(J588="Proficient","Yes","No"))</f>
        <v/>
      </c>
      <c r="L588" s="6" t="str">
        <f aca="false">IF(F588="","",INDEX({"Listening","Speaking","Reading","Writing"},MATCH(MIN(F588:I588),F588:I588,0)))</f>
        <v/>
      </c>
      <c r="M588" s="17"/>
      <c r="N588" s="6" t="str">
        <f aca="false">IF(OR(F588="",M588=""),"",ROUND(AVERAGE(F588:I588)-M588,1))</f>
        <v/>
      </c>
      <c r="O588" s="17"/>
      <c r="P588" s="17"/>
      <c r="Q588" s="17"/>
    </row>
    <row r="589" customFormat="false" ht="15" hidden="false" customHeight="true" outlineLevel="0" collapsed="false">
      <c r="A589" s="17"/>
      <c r="B589" s="17"/>
      <c r="C589" s="17"/>
      <c r="D589" s="17"/>
      <c r="E589" s="17"/>
      <c r="F589" s="17"/>
      <c r="G589" s="17"/>
      <c r="H589" s="17"/>
      <c r="I589" s="17"/>
      <c r="J589" s="6" t="str">
        <f aca="false">IF(F589="","",IF(AND(F589&gt;=4,G589&gt;=4,H589&gt;=4,I589&gt;=4),"Proficient",IF(AND(F589&lt;=2,G589&lt;=2,H589&lt;=2,I589&lt;=2),"Emerging","Progressing")))</f>
        <v/>
      </c>
      <c r="K589" s="6" t="str">
        <f aca="false">IF(F589="","",IF(J589="Proficient","Yes","No"))</f>
        <v/>
      </c>
      <c r="L589" s="6" t="str">
        <f aca="false">IF(F589="","",INDEX({"Listening","Speaking","Reading","Writing"},MATCH(MIN(F589:I589),F589:I589,0)))</f>
        <v/>
      </c>
      <c r="M589" s="17"/>
      <c r="N589" s="6" t="str">
        <f aca="false">IF(OR(F589="",M589=""),"",ROUND(AVERAGE(F589:I589)-M589,1))</f>
        <v/>
      </c>
      <c r="O589" s="17"/>
      <c r="P589" s="17"/>
      <c r="Q589" s="17"/>
    </row>
    <row r="590" customFormat="false" ht="15" hidden="false" customHeight="true" outlineLevel="0" collapsed="false">
      <c r="A590" s="17"/>
      <c r="B590" s="17"/>
      <c r="C590" s="17"/>
      <c r="D590" s="17"/>
      <c r="E590" s="17"/>
      <c r="F590" s="17"/>
      <c r="G590" s="17"/>
      <c r="H590" s="17"/>
      <c r="I590" s="17"/>
      <c r="J590" s="6" t="str">
        <f aca="false">IF(F590="","",IF(AND(F590&gt;=4,G590&gt;=4,H590&gt;=4,I590&gt;=4),"Proficient",IF(AND(F590&lt;=2,G590&lt;=2,H590&lt;=2,I590&lt;=2),"Emerging","Progressing")))</f>
        <v/>
      </c>
      <c r="K590" s="6" t="str">
        <f aca="false">IF(F590="","",IF(J590="Proficient","Yes","No"))</f>
        <v/>
      </c>
      <c r="L590" s="6" t="str">
        <f aca="false">IF(F590="","",INDEX({"Listening","Speaking","Reading","Writing"},MATCH(MIN(F590:I590),F590:I590,0)))</f>
        <v/>
      </c>
      <c r="M590" s="17"/>
      <c r="N590" s="6" t="str">
        <f aca="false">IF(OR(F590="",M590=""),"",ROUND(AVERAGE(F590:I590)-M590,1))</f>
        <v/>
      </c>
      <c r="O590" s="17"/>
      <c r="P590" s="17"/>
      <c r="Q590" s="17"/>
    </row>
    <row r="591" customFormat="false" ht="15" hidden="false" customHeight="true" outlineLevel="0" collapsed="false">
      <c r="A591" s="17"/>
      <c r="B591" s="17"/>
      <c r="C591" s="17"/>
      <c r="D591" s="17"/>
      <c r="E591" s="17"/>
      <c r="F591" s="17"/>
      <c r="G591" s="17"/>
      <c r="H591" s="17"/>
      <c r="I591" s="17"/>
      <c r="J591" s="6" t="str">
        <f aca="false">IF(F591="","",IF(AND(F591&gt;=4,G591&gt;=4,H591&gt;=4,I591&gt;=4),"Proficient",IF(AND(F591&lt;=2,G591&lt;=2,H591&lt;=2,I591&lt;=2),"Emerging","Progressing")))</f>
        <v/>
      </c>
      <c r="K591" s="6" t="str">
        <f aca="false">IF(F591="","",IF(J591="Proficient","Yes","No"))</f>
        <v/>
      </c>
      <c r="L591" s="6" t="str">
        <f aca="false">IF(F591="","",INDEX({"Listening","Speaking","Reading","Writing"},MATCH(MIN(F591:I591),F591:I591,0)))</f>
        <v/>
      </c>
      <c r="M591" s="17"/>
      <c r="N591" s="6" t="str">
        <f aca="false">IF(OR(F591="",M591=""),"",ROUND(AVERAGE(F591:I591)-M591,1))</f>
        <v/>
      </c>
      <c r="O591" s="17"/>
      <c r="P591" s="17"/>
      <c r="Q591" s="17"/>
    </row>
    <row r="592" customFormat="false" ht="15" hidden="false" customHeight="true" outlineLevel="0" collapsed="false">
      <c r="A592" s="17"/>
      <c r="B592" s="17"/>
      <c r="C592" s="17"/>
      <c r="D592" s="17"/>
      <c r="E592" s="17"/>
      <c r="F592" s="17"/>
      <c r="G592" s="17"/>
      <c r="H592" s="17"/>
      <c r="I592" s="17"/>
      <c r="J592" s="6" t="str">
        <f aca="false">IF(F592="","",IF(AND(F592&gt;=4,G592&gt;=4,H592&gt;=4,I592&gt;=4),"Proficient",IF(AND(F592&lt;=2,G592&lt;=2,H592&lt;=2,I592&lt;=2),"Emerging","Progressing")))</f>
        <v/>
      </c>
      <c r="K592" s="6" t="str">
        <f aca="false">IF(F592="","",IF(J592="Proficient","Yes","No"))</f>
        <v/>
      </c>
      <c r="L592" s="6" t="str">
        <f aca="false">IF(F592="","",INDEX({"Listening","Speaking","Reading","Writing"},MATCH(MIN(F592:I592),F592:I592,0)))</f>
        <v/>
      </c>
      <c r="M592" s="17"/>
      <c r="N592" s="6" t="str">
        <f aca="false">IF(OR(F592="",M592=""),"",ROUND(AVERAGE(F592:I592)-M592,1))</f>
        <v/>
      </c>
      <c r="O592" s="17"/>
      <c r="P592" s="17"/>
      <c r="Q592" s="17"/>
    </row>
    <row r="593" customFormat="false" ht="15" hidden="false" customHeight="true" outlineLevel="0" collapsed="false">
      <c r="A593" s="17"/>
      <c r="B593" s="17"/>
      <c r="C593" s="17"/>
      <c r="D593" s="17"/>
      <c r="E593" s="17"/>
      <c r="F593" s="17"/>
      <c r="G593" s="17"/>
      <c r="H593" s="17"/>
      <c r="I593" s="17"/>
      <c r="J593" s="6" t="str">
        <f aca="false">IF(F593="","",IF(AND(F593&gt;=4,G593&gt;=4,H593&gt;=4,I593&gt;=4),"Proficient",IF(AND(F593&lt;=2,G593&lt;=2,H593&lt;=2,I593&lt;=2),"Emerging","Progressing")))</f>
        <v/>
      </c>
      <c r="K593" s="6" t="str">
        <f aca="false">IF(F593="","",IF(J593="Proficient","Yes","No"))</f>
        <v/>
      </c>
      <c r="L593" s="6" t="str">
        <f aca="false">IF(F593="","",INDEX({"Listening","Speaking","Reading","Writing"},MATCH(MIN(F593:I593),F593:I593,0)))</f>
        <v/>
      </c>
      <c r="M593" s="17"/>
      <c r="N593" s="6" t="str">
        <f aca="false">IF(OR(F593="",M593=""),"",ROUND(AVERAGE(F593:I593)-M593,1))</f>
        <v/>
      </c>
      <c r="O593" s="17"/>
      <c r="P593" s="17"/>
      <c r="Q593" s="17"/>
    </row>
    <row r="594" customFormat="false" ht="15" hidden="false" customHeight="true" outlineLevel="0" collapsed="false">
      <c r="A594" s="17"/>
      <c r="B594" s="17"/>
      <c r="C594" s="17"/>
      <c r="D594" s="17"/>
      <c r="E594" s="17"/>
      <c r="F594" s="17"/>
      <c r="G594" s="17"/>
      <c r="H594" s="17"/>
      <c r="I594" s="17"/>
      <c r="J594" s="6" t="str">
        <f aca="false">IF(F594="","",IF(AND(F594&gt;=4,G594&gt;=4,H594&gt;=4,I594&gt;=4),"Proficient",IF(AND(F594&lt;=2,G594&lt;=2,H594&lt;=2,I594&lt;=2),"Emerging","Progressing")))</f>
        <v/>
      </c>
      <c r="K594" s="6" t="str">
        <f aca="false">IF(F594="","",IF(J594="Proficient","Yes","No"))</f>
        <v/>
      </c>
      <c r="L594" s="6" t="str">
        <f aca="false">IF(F594="","",INDEX({"Listening","Speaking","Reading","Writing"},MATCH(MIN(F594:I594),F594:I594,0)))</f>
        <v/>
      </c>
      <c r="M594" s="17"/>
      <c r="N594" s="6" t="str">
        <f aca="false">IF(OR(F594="",M594=""),"",ROUND(AVERAGE(F594:I594)-M594,1))</f>
        <v/>
      </c>
      <c r="O594" s="17"/>
      <c r="P594" s="17"/>
      <c r="Q594" s="17"/>
    </row>
    <row r="595" customFormat="false" ht="15" hidden="false" customHeight="true" outlineLevel="0" collapsed="false">
      <c r="A595" s="17"/>
      <c r="B595" s="17"/>
      <c r="C595" s="17"/>
      <c r="D595" s="17"/>
      <c r="E595" s="17"/>
      <c r="F595" s="17"/>
      <c r="G595" s="17"/>
      <c r="H595" s="17"/>
      <c r="I595" s="17"/>
      <c r="J595" s="6" t="str">
        <f aca="false">IF(F595="","",IF(AND(F595&gt;=4,G595&gt;=4,H595&gt;=4,I595&gt;=4),"Proficient",IF(AND(F595&lt;=2,G595&lt;=2,H595&lt;=2,I595&lt;=2),"Emerging","Progressing")))</f>
        <v/>
      </c>
      <c r="K595" s="6" t="str">
        <f aca="false">IF(F595="","",IF(J595="Proficient","Yes","No"))</f>
        <v/>
      </c>
      <c r="L595" s="6" t="str">
        <f aca="false">IF(F595="","",INDEX({"Listening","Speaking","Reading","Writing"},MATCH(MIN(F595:I595),F595:I595,0)))</f>
        <v/>
      </c>
      <c r="M595" s="17"/>
      <c r="N595" s="6" t="str">
        <f aca="false">IF(OR(F595="",M595=""),"",ROUND(AVERAGE(F595:I595)-M595,1))</f>
        <v/>
      </c>
      <c r="O595" s="17"/>
      <c r="P595" s="17"/>
      <c r="Q595" s="17"/>
    </row>
    <row r="596" customFormat="false" ht="15" hidden="false" customHeight="true" outlineLevel="0" collapsed="false">
      <c r="A596" s="17"/>
      <c r="B596" s="17"/>
      <c r="C596" s="17"/>
      <c r="D596" s="17"/>
      <c r="E596" s="17"/>
      <c r="F596" s="17"/>
      <c r="G596" s="17"/>
      <c r="H596" s="17"/>
      <c r="I596" s="17"/>
      <c r="J596" s="6" t="str">
        <f aca="false">IF(F596="","",IF(AND(F596&gt;=4,G596&gt;=4,H596&gt;=4,I596&gt;=4),"Proficient",IF(AND(F596&lt;=2,G596&lt;=2,H596&lt;=2,I596&lt;=2),"Emerging","Progressing")))</f>
        <v/>
      </c>
      <c r="K596" s="6" t="str">
        <f aca="false">IF(F596="","",IF(J596="Proficient","Yes","No"))</f>
        <v/>
      </c>
      <c r="L596" s="6" t="str">
        <f aca="false">IF(F596="","",INDEX({"Listening","Speaking","Reading","Writing"},MATCH(MIN(F596:I596),F596:I596,0)))</f>
        <v/>
      </c>
      <c r="M596" s="17"/>
      <c r="N596" s="6" t="str">
        <f aca="false">IF(OR(F596="",M596=""),"",ROUND(AVERAGE(F596:I596)-M596,1))</f>
        <v/>
      </c>
      <c r="O596" s="17"/>
      <c r="P596" s="17"/>
      <c r="Q596" s="17"/>
    </row>
    <row r="597" customFormat="false" ht="15" hidden="false" customHeight="true" outlineLevel="0" collapsed="false">
      <c r="A597" s="17"/>
      <c r="B597" s="17"/>
      <c r="C597" s="17"/>
      <c r="D597" s="17"/>
      <c r="E597" s="17"/>
      <c r="F597" s="17"/>
      <c r="G597" s="17"/>
      <c r="H597" s="17"/>
      <c r="I597" s="17"/>
      <c r="J597" s="6" t="str">
        <f aca="false">IF(F597="","",IF(AND(F597&gt;=4,G597&gt;=4,H597&gt;=4,I597&gt;=4),"Proficient",IF(AND(F597&lt;=2,G597&lt;=2,H597&lt;=2,I597&lt;=2),"Emerging","Progressing")))</f>
        <v/>
      </c>
      <c r="K597" s="6" t="str">
        <f aca="false">IF(F597="","",IF(J597="Proficient","Yes","No"))</f>
        <v/>
      </c>
      <c r="L597" s="6" t="str">
        <f aca="false">IF(F597="","",INDEX({"Listening","Speaking","Reading","Writing"},MATCH(MIN(F597:I597),F597:I597,0)))</f>
        <v/>
      </c>
      <c r="M597" s="17"/>
      <c r="N597" s="6" t="str">
        <f aca="false">IF(OR(F597="",M597=""),"",ROUND(AVERAGE(F597:I597)-M597,1))</f>
        <v/>
      </c>
      <c r="O597" s="17"/>
      <c r="P597" s="17"/>
      <c r="Q597" s="17"/>
    </row>
    <row r="598" customFormat="false" ht="15" hidden="false" customHeight="true" outlineLevel="0" collapsed="false">
      <c r="A598" s="17"/>
      <c r="B598" s="17"/>
      <c r="C598" s="17"/>
      <c r="D598" s="17"/>
      <c r="E598" s="17"/>
      <c r="F598" s="17"/>
      <c r="G598" s="17"/>
      <c r="H598" s="17"/>
      <c r="I598" s="17"/>
      <c r="J598" s="6" t="str">
        <f aca="false">IF(F598="","",IF(AND(F598&gt;=4,G598&gt;=4,H598&gt;=4,I598&gt;=4),"Proficient",IF(AND(F598&lt;=2,G598&lt;=2,H598&lt;=2,I598&lt;=2),"Emerging","Progressing")))</f>
        <v/>
      </c>
      <c r="K598" s="6" t="str">
        <f aca="false">IF(F598="","",IF(J598="Proficient","Yes","No"))</f>
        <v/>
      </c>
      <c r="L598" s="6" t="str">
        <f aca="false">IF(F598="","",INDEX({"Listening","Speaking","Reading","Writing"},MATCH(MIN(F598:I598),F598:I598,0)))</f>
        <v/>
      </c>
      <c r="M598" s="17"/>
      <c r="N598" s="6" t="str">
        <f aca="false">IF(OR(F598="",M598=""),"",ROUND(AVERAGE(F598:I598)-M598,1))</f>
        <v/>
      </c>
      <c r="O598" s="17"/>
      <c r="P598" s="17"/>
      <c r="Q598" s="17"/>
    </row>
    <row r="599" customFormat="false" ht="15" hidden="false" customHeight="true" outlineLevel="0" collapsed="false">
      <c r="A599" s="17"/>
      <c r="B599" s="17"/>
      <c r="C599" s="17"/>
      <c r="D599" s="17"/>
      <c r="E599" s="17"/>
      <c r="F599" s="17"/>
      <c r="G599" s="17"/>
      <c r="H599" s="17"/>
      <c r="I599" s="17"/>
      <c r="J599" s="6" t="str">
        <f aca="false">IF(F599="","",IF(AND(F599&gt;=4,G599&gt;=4,H599&gt;=4,I599&gt;=4),"Proficient",IF(AND(F599&lt;=2,G599&lt;=2,H599&lt;=2,I599&lt;=2),"Emerging","Progressing")))</f>
        <v/>
      </c>
      <c r="K599" s="6" t="str">
        <f aca="false">IF(F599="","",IF(J599="Proficient","Yes","No"))</f>
        <v/>
      </c>
      <c r="L599" s="6" t="str">
        <f aca="false">IF(F599="","",INDEX({"Listening","Speaking","Reading","Writing"},MATCH(MIN(F599:I599),F599:I599,0)))</f>
        <v/>
      </c>
      <c r="M599" s="17"/>
      <c r="N599" s="6" t="str">
        <f aca="false">IF(OR(F599="",M599=""),"",ROUND(AVERAGE(F599:I599)-M599,1))</f>
        <v/>
      </c>
      <c r="O599" s="17"/>
      <c r="P599" s="17"/>
      <c r="Q599" s="17"/>
    </row>
    <row r="600" customFormat="false" ht="15" hidden="false" customHeight="true" outlineLevel="0" collapsed="false">
      <c r="A600" s="17"/>
      <c r="B600" s="17"/>
      <c r="C600" s="17"/>
      <c r="D600" s="17"/>
      <c r="E600" s="17"/>
      <c r="F600" s="17"/>
      <c r="G600" s="17"/>
      <c r="H600" s="17"/>
      <c r="I600" s="17"/>
      <c r="J600" s="6" t="str">
        <f aca="false">IF(F600="","",IF(AND(F600&gt;=4,G600&gt;=4,H600&gt;=4,I600&gt;=4),"Proficient",IF(AND(F600&lt;=2,G600&lt;=2,H600&lt;=2,I600&lt;=2),"Emerging","Progressing")))</f>
        <v/>
      </c>
      <c r="K600" s="6" t="str">
        <f aca="false">IF(F600="","",IF(J600="Proficient","Yes","No"))</f>
        <v/>
      </c>
      <c r="L600" s="6" t="str">
        <f aca="false">IF(F600="","",INDEX({"Listening","Speaking","Reading","Writing"},MATCH(MIN(F600:I600),F600:I600,0)))</f>
        <v/>
      </c>
      <c r="M600" s="17"/>
      <c r="N600" s="6" t="str">
        <f aca="false">IF(OR(F600="",M600=""),"",ROUND(AVERAGE(F600:I600)-M600,1))</f>
        <v/>
      </c>
      <c r="O600" s="17"/>
      <c r="P600" s="17"/>
      <c r="Q600" s="17"/>
    </row>
    <row r="601" customFormat="false" ht="15" hidden="false" customHeight="true" outlineLevel="0" collapsed="false">
      <c r="A601" s="17"/>
      <c r="B601" s="17"/>
      <c r="C601" s="17"/>
      <c r="D601" s="17"/>
      <c r="E601" s="17"/>
      <c r="F601" s="17"/>
      <c r="G601" s="17"/>
      <c r="H601" s="17"/>
      <c r="I601" s="17"/>
      <c r="J601" s="6" t="str">
        <f aca="false">IF(F601="","",IF(AND(F601&gt;=4,G601&gt;=4,H601&gt;=4,I601&gt;=4),"Proficient",IF(AND(F601&lt;=2,G601&lt;=2,H601&lt;=2,I601&lt;=2),"Emerging","Progressing")))</f>
        <v/>
      </c>
      <c r="K601" s="6" t="str">
        <f aca="false">IF(F601="","",IF(J601="Proficient","Yes","No"))</f>
        <v/>
      </c>
      <c r="L601" s="6" t="str">
        <f aca="false">IF(F601="","",INDEX({"Listening","Speaking","Reading","Writing"},MATCH(MIN(F601:I601),F601:I601,0)))</f>
        <v/>
      </c>
      <c r="M601" s="17"/>
      <c r="N601" s="6" t="str">
        <f aca="false">IF(OR(F601="",M601=""),"",ROUND(AVERAGE(F601:I601)-M601,1))</f>
        <v/>
      </c>
      <c r="O601" s="17"/>
      <c r="P601" s="17"/>
      <c r="Q601" s="17"/>
    </row>
    <row r="602" customFormat="false" ht="15" hidden="false" customHeight="true" outlineLevel="0" collapsed="false">
      <c r="A602" s="17"/>
      <c r="B602" s="17"/>
      <c r="C602" s="17"/>
      <c r="D602" s="17"/>
      <c r="E602" s="17"/>
      <c r="F602" s="17"/>
      <c r="G602" s="17"/>
      <c r="H602" s="17"/>
      <c r="I602" s="17"/>
      <c r="J602" s="6" t="str">
        <f aca="false">IF(F602="","",IF(AND(F602&gt;=4,G602&gt;=4,H602&gt;=4,I602&gt;=4),"Proficient",IF(AND(F602&lt;=2,G602&lt;=2,H602&lt;=2,I602&lt;=2),"Emerging","Progressing")))</f>
        <v/>
      </c>
      <c r="K602" s="6" t="str">
        <f aca="false">IF(F602="","",IF(J602="Proficient","Yes","No"))</f>
        <v/>
      </c>
      <c r="L602" s="6" t="str">
        <f aca="false">IF(F602="","",INDEX({"Listening","Speaking","Reading","Writing"},MATCH(MIN(F602:I602),F602:I602,0)))</f>
        <v/>
      </c>
      <c r="M602" s="17"/>
      <c r="N602" s="6" t="str">
        <f aca="false">IF(OR(F602="",M602=""),"",ROUND(AVERAGE(F602:I602)-M602,1))</f>
        <v/>
      </c>
      <c r="O602" s="17"/>
      <c r="P602" s="17"/>
      <c r="Q602" s="17"/>
    </row>
    <row r="603" customFormat="false" ht="15" hidden="false" customHeight="true" outlineLevel="0" collapsed="false">
      <c r="A603" s="17"/>
      <c r="B603" s="17"/>
      <c r="C603" s="17"/>
      <c r="D603" s="17"/>
      <c r="E603" s="17"/>
      <c r="F603" s="17"/>
      <c r="G603" s="17"/>
      <c r="H603" s="17"/>
      <c r="I603" s="17"/>
      <c r="J603" s="6" t="str">
        <f aca="false">IF(F603="","",IF(AND(F603&gt;=4,G603&gt;=4,H603&gt;=4,I603&gt;=4),"Proficient",IF(AND(F603&lt;=2,G603&lt;=2,H603&lt;=2,I603&lt;=2),"Emerging","Progressing")))</f>
        <v/>
      </c>
      <c r="K603" s="6" t="str">
        <f aca="false">IF(F603="","",IF(J603="Proficient","Yes","No"))</f>
        <v/>
      </c>
      <c r="L603" s="6" t="str">
        <f aca="false">IF(F603="","",INDEX({"Listening","Speaking","Reading","Writing"},MATCH(MIN(F603:I603),F603:I603,0)))</f>
        <v/>
      </c>
      <c r="M603" s="17"/>
      <c r="N603" s="6" t="str">
        <f aca="false">IF(OR(F603="",M603=""),"",ROUND(AVERAGE(F603:I603)-M603,1))</f>
        <v/>
      </c>
      <c r="O603" s="17"/>
      <c r="P603" s="17"/>
      <c r="Q603" s="17"/>
    </row>
    <row r="604" customFormat="false" ht="15" hidden="false" customHeight="true" outlineLevel="0" collapsed="false">
      <c r="A604" s="17"/>
      <c r="B604" s="17"/>
      <c r="C604" s="17"/>
      <c r="D604" s="17"/>
      <c r="E604" s="17"/>
      <c r="F604" s="17"/>
      <c r="G604" s="17"/>
      <c r="H604" s="17"/>
      <c r="I604" s="17"/>
      <c r="J604" s="6" t="str">
        <f aca="false">IF(F604="","",IF(AND(F604&gt;=4,G604&gt;=4,H604&gt;=4,I604&gt;=4),"Proficient",IF(AND(F604&lt;=2,G604&lt;=2,H604&lt;=2,I604&lt;=2),"Emerging","Progressing")))</f>
        <v/>
      </c>
      <c r="K604" s="6" t="str">
        <f aca="false">IF(F604="","",IF(J604="Proficient","Yes","No"))</f>
        <v/>
      </c>
      <c r="L604" s="6" t="str">
        <f aca="false">IF(F604="","",INDEX({"Listening","Speaking","Reading","Writing"},MATCH(MIN(F604:I604),F604:I604,0)))</f>
        <v/>
      </c>
      <c r="M604" s="17"/>
      <c r="N604" s="6" t="str">
        <f aca="false">IF(OR(F604="",M604=""),"",ROUND(AVERAGE(F604:I604)-M604,1))</f>
        <v/>
      </c>
      <c r="O604" s="17"/>
      <c r="P604" s="17"/>
      <c r="Q604" s="17"/>
    </row>
    <row r="605" customFormat="false" ht="15" hidden="false" customHeight="true" outlineLevel="0" collapsed="false">
      <c r="A605" s="17"/>
      <c r="B605" s="17"/>
      <c r="C605" s="17"/>
      <c r="D605" s="17"/>
      <c r="E605" s="17"/>
      <c r="F605" s="17"/>
      <c r="G605" s="17"/>
      <c r="H605" s="17"/>
      <c r="I605" s="17"/>
      <c r="J605" s="6" t="str">
        <f aca="false">IF(F605="","",IF(AND(F605&gt;=4,G605&gt;=4,H605&gt;=4,I605&gt;=4),"Proficient",IF(AND(F605&lt;=2,G605&lt;=2,H605&lt;=2,I605&lt;=2),"Emerging","Progressing")))</f>
        <v/>
      </c>
      <c r="K605" s="6" t="str">
        <f aca="false">IF(F605="","",IF(J605="Proficient","Yes","No"))</f>
        <v/>
      </c>
      <c r="L605" s="6" t="str">
        <f aca="false">IF(F605="","",INDEX({"Listening","Speaking","Reading","Writing"},MATCH(MIN(F605:I605),F605:I605,0)))</f>
        <v/>
      </c>
      <c r="M605" s="17"/>
      <c r="N605" s="6" t="str">
        <f aca="false">IF(OR(F605="",M605=""),"",ROUND(AVERAGE(F605:I605)-M605,1))</f>
        <v/>
      </c>
      <c r="O605" s="17"/>
      <c r="P605" s="17"/>
      <c r="Q605" s="17"/>
    </row>
    <row r="606" customFormat="false" ht="15" hidden="false" customHeight="true" outlineLevel="0" collapsed="false">
      <c r="A606" s="17"/>
      <c r="B606" s="17"/>
      <c r="C606" s="17"/>
      <c r="D606" s="17"/>
      <c r="E606" s="17"/>
      <c r="F606" s="17"/>
      <c r="G606" s="17"/>
      <c r="H606" s="17"/>
      <c r="I606" s="17"/>
      <c r="J606" s="6" t="str">
        <f aca="false">IF(F606="","",IF(AND(F606&gt;=4,G606&gt;=4,H606&gt;=4,I606&gt;=4),"Proficient",IF(AND(F606&lt;=2,G606&lt;=2,H606&lt;=2,I606&lt;=2),"Emerging","Progressing")))</f>
        <v/>
      </c>
      <c r="K606" s="6" t="str">
        <f aca="false">IF(F606="","",IF(J606="Proficient","Yes","No"))</f>
        <v/>
      </c>
      <c r="L606" s="6" t="str">
        <f aca="false">IF(F606="","",INDEX({"Listening","Speaking","Reading","Writing"},MATCH(MIN(F606:I606),F606:I606,0)))</f>
        <v/>
      </c>
      <c r="M606" s="17"/>
      <c r="N606" s="6" t="str">
        <f aca="false">IF(OR(F606="",M606=""),"",ROUND(AVERAGE(F606:I606)-M606,1))</f>
        <v/>
      </c>
      <c r="O606" s="17"/>
      <c r="P606" s="17"/>
      <c r="Q606" s="17"/>
    </row>
    <row r="607" customFormat="false" ht="15" hidden="false" customHeight="true" outlineLevel="0" collapsed="false">
      <c r="A607" s="17"/>
      <c r="B607" s="17"/>
      <c r="C607" s="17"/>
      <c r="D607" s="17"/>
      <c r="E607" s="17"/>
      <c r="F607" s="17"/>
      <c r="G607" s="17"/>
      <c r="H607" s="17"/>
      <c r="I607" s="17"/>
      <c r="J607" s="6" t="str">
        <f aca="false">IF(F607="","",IF(AND(F607&gt;=4,G607&gt;=4,H607&gt;=4,I607&gt;=4),"Proficient",IF(AND(F607&lt;=2,G607&lt;=2,H607&lt;=2,I607&lt;=2),"Emerging","Progressing")))</f>
        <v/>
      </c>
      <c r="K607" s="6" t="str">
        <f aca="false">IF(F607="","",IF(J607="Proficient","Yes","No"))</f>
        <v/>
      </c>
      <c r="L607" s="6" t="str">
        <f aca="false">IF(F607="","",INDEX({"Listening","Speaking","Reading","Writing"},MATCH(MIN(F607:I607),F607:I607,0)))</f>
        <v/>
      </c>
      <c r="M607" s="17"/>
      <c r="N607" s="6" t="str">
        <f aca="false">IF(OR(F607="",M607=""),"",ROUND(AVERAGE(F607:I607)-M607,1))</f>
        <v/>
      </c>
      <c r="O607" s="17"/>
      <c r="P607" s="17"/>
      <c r="Q607" s="17"/>
    </row>
    <row r="608" customFormat="false" ht="15" hidden="false" customHeight="true" outlineLevel="0" collapsed="false">
      <c r="A608" s="17"/>
      <c r="B608" s="17"/>
      <c r="C608" s="17"/>
      <c r="D608" s="17"/>
      <c r="E608" s="17"/>
      <c r="F608" s="17"/>
      <c r="G608" s="17"/>
      <c r="H608" s="17"/>
      <c r="I608" s="17"/>
      <c r="J608" s="6" t="str">
        <f aca="false">IF(F608="","",IF(AND(F608&gt;=4,G608&gt;=4,H608&gt;=4,I608&gt;=4),"Proficient",IF(AND(F608&lt;=2,G608&lt;=2,H608&lt;=2,I608&lt;=2),"Emerging","Progressing")))</f>
        <v/>
      </c>
      <c r="K608" s="6" t="str">
        <f aca="false">IF(F608="","",IF(J608="Proficient","Yes","No"))</f>
        <v/>
      </c>
      <c r="L608" s="6" t="str">
        <f aca="false">IF(F608="","",INDEX({"Listening","Speaking","Reading","Writing"},MATCH(MIN(F608:I608),F608:I608,0)))</f>
        <v/>
      </c>
      <c r="M608" s="17"/>
      <c r="N608" s="6" t="str">
        <f aca="false">IF(OR(F608="",M608=""),"",ROUND(AVERAGE(F608:I608)-M608,1))</f>
        <v/>
      </c>
      <c r="O608" s="17"/>
      <c r="P608" s="17"/>
      <c r="Q608" s="17"/>
    </row>
    <row r="609" customFormat="false" ht="15" hidden="false" customHeight="true" outlineLevel="0" collapsed="false">
      <c r="A609" s="17"/>
      <c r="B609" s="17"/>
      <c r="C609" s="17"/>
      <c r="D609" s="17"/>
      <c r="E609" s="17"/>
      <c r="F609" s="17"/>
      <c r="G609" s="17"/>
      <c r="H609" s="17"/>
      <c r="I609" s="17"/>
      <c r="J609" s="6" t="str">
        <f aca="false">IF(F609="","",IF(AND(F609&gt;=4,G609&gt;=4,H609&gt;=4,I609&gt;=4),"Proficient",IF(AND(F609&lt;=2,G609&lt;=2,H609&lt;=2,I609&lt;=2),"Emerging","Progressing")))</f>
        <v/>
      </c>
      <c r="K609" s="6" t="str">
        <f aca="false">IF(F609="","",IF(J609="Proficient","Yes","No"))</f>
        <v/>
      </c>
      <c r="L609" s="6" t="str">
        <f aca="false">IF(F609="","",INDEX({"Listening","Speaking","Reading","Writing"},MATCH(MIN(F609:I609),F609:I609,0)))</f>
        <v/>
      </c>
      <c r="M609" s="17"/>
      <c r="N609" s="6" t="str">
        <f aca="false">IF(OR(F609="",M609=""),"",ROUND(AVERAGE(F609:I609)-M609,1))</f>
        <v/>
      </c>
      <c r="O609" s="17"/>
      <c r="P609" s="17"/>
      <c r="Q609" s="17"/>
    </row>
    <row r="610" customFormat="false" ht="15" hidden="false" customHeight="true" outlineLevel="0" collapsed="false">
      <c r="A610" s="17"/>
      <c r="B610" s="17"/>
      <c r="C610" s="17"/>
      <c r="D610" s="17"/>
      <c r="E610" s="17"/>
      <c r="F610" s="17"/>
      <c r="G610" s="17"/>
      <c r="H610" s="17"/>
      <c r="I610" s="17"/>
      <c r="J610" s="6" t="str">
        <f aca="false">IF(F610="","",IF(AND(F610&gt;=4,G610&gt;=4,H610&gt;=4,I610&gt;=4),"Proficient",IF(AND(F610&lt;=2,G610&lt;=2,H610&lt;=2,I610&lt;=2),"Emerging","Progressing")))</f>
        <v/>
      </c>
      <c r="K610" s="6" t="str">
        <f aca="false">IF(F610="","",IF(J610="Proficient","Yes","No"))</f>
        <v/>
      </c>
      <c r="L610" s="6" t="str">
        <f aca="false">IF(F610="","",INDEX({"Listening","Speaking","Reading","Writing"},MATCH(MIN(F610:I610),F610:I610,0)))</f>
        <v/>
      </c>
      <c r="M610" s="17"/>
      <c r="N610" s="6" t="str">
        <f aca="false">IF(OR(F610="",M610=""),"",ROUND(AVERAGE(F610:I610)-M610,1))</f>
        <v/>
      </c>
      <c r="O610" s="17"/>
      <c r="P610" s="17"/>
      <c r="Q610" s="17"/>
    </row>
    <row r="611" customFormat="false" ht="15" hidden="false" customHeight="true" outlineLevel="0" collapsed="false">
      <c r="A611" s="17"/>
      <c r="B611" s="17"/>
      <c r="C611" s="17"/>
      <c r="D611" s="17"/>
      <c r="E611" s="17"/>
      <c r="F611" s="17"/>
      <c r="G611" s="17"/>
      <c r="H611" s="17"/>
      <c r="I611" s="17"/>
      <c r="J611" s="6" t="str">
        <f aca="false">IF(F611="","",IF(AND(F611&gt;=4,G611&gt;=4,H611&gt;=4,I611&gt;=4),"Proficient",IF(AND(F611&lt;=2,G611&lt;=2,H611&lt;=2,I611&lt;=2),"Emerging","Progressing")))</f>
        <v/>
      </c>
      <c r="K611" s="6" t="str">
        <f aca="false">IF(F611="","",IF(J611="Proficient","Yes","No"))</f>
        <v/>
      </c>
      <c r="L611" s="6" t="str">
        <f aca="false">IF(F611="","",INDEX({"Listening","Speaking","Reading","Writing"},MATCH(MIN(F611:I611),F611:I611,0)))</f>
        <v/>
      </c>
      <c r="M611" s="17"/>
      <c r="N611" s="6" t="str">
        <f aca="false">IF(OR(F611="",M611=""),"",ROUND(AVERAGE(F611:I611)-M611,1))</f>
        <v/>
      </c>
      <c r="O611" s="17"/>
      <c r="P611" s="17"/>
      <c r="Q611" s="17"/>
    </row>
    <row r="612" customFormat="false" ht="15" hidden="false" customHeight="true" outlineLevel="0" collapsed="false">
      <c r="A612" s="17"/>
      <c r="B612" s="17"/>
      <c r="C612" s="17"/>
      <c r="D612" s="17"/>
      <c r="E612" s="17"/>
      <c r="F612" s="17"/>
      <c r="G612" s="17"/>
      <c r="H612" s="17"/>
      <c r="I612" s="17"/>
      <c r="J612" s="6" t="str">
        <f aca="false">IF(F612="","",IF(AND(F612&gt;=4,G612&gt;=4,H612&gt;=4,I612&gt;=4),"Proficient",IF(AND(F612&lt;=2,G612&lt;=2,H612&lt;=2,I612&lt;=2),"Emerging","Progressing")))</f>
        <v/>
      </c>
      <c r="K612" s="6" t="str">
        <f aca="false">IF(F612="","",IF(J612="Proficient","Yes","No"))</f>
        <v/>
      </c>
      <c r="L612" s="6" t="str">
        <f aca="false">IF(F612="","",INDEX({"Listening","Speaking","Reading","Writing"},MATCH(MIN(F612:I612),F612:I612,0)))</f>
        <v/>
      </c>
      <c r="M612" s="17"/>
      <c r="N612" s="6" t="str">
        <f aca="false">IF(OR(F612="",M612=""),"",ROUND(AVERAGE(F612:I612)-M612,1))</f>
        <v/>
      </c>
      <c r="O612" s="17"/>
      <c r="P612" s="17"/>
      <c r="Q612" s="17"/>
    </row>
    <row r="613" customFormat="false" ht="15" hidden="false" customHeight="true" outlineLevel="0" collapsed="false">
      <c r="A613" s="17"/>
      <c r="B613" s="17"/>
      <c r="C613" s="17"/>
      <c r="D613" s="17"/>
      <c r="E613" s="17"/>
      <c r="F613" s="17"/>
      <c r="G613" s="17"/>
      <c r="H613" s="17"/>
      <c r="I613" s="17"/>
      <c r="J613" s="6" t="str">
        <f aca="false">IF(F613="","",IF(AND(F613&gt;=4,G613&gt;=4,H613&gt;=4,I613&gt;=4),"Proficient",IF(AND(F613&lt;=2,G613&lt;=2,H613&lt;=2,I613&lt;=2),"Emerging","Progressing")))</f>
        <v/>
      </c>
      <c r="K613" s="6" t="str">
        <f aca="false">IF(F613="","",IF(J613="Proficient","Yes","No"))</f>
        <v/>
      </c>
      <c r="L613" s="6" t="str">
        <f aca="false">IF(F613="","",INDEX({"Listening","Speaking","Reading","Writing"},MATCH(MIN(F613:I613),F613:I613,0)))</f>
        <v/>
      </c>
      <c r="M613" s="17"/>
      <c r="N613" s="6" t="str">
        <f aca="false">IF(OR(F613="",M613=""),"",ROUND(AVERAGE(F613:I613)-M613,1))</f>
        <v/>
      </c>
      <c r="O613" s="17"/>
      <c r="P613" s="17"/>
      <c r="Q613" s="17"/>
    </row>
    <row r="614" customFormat="false" ht="15" hidden="false" customHeight="true" outlineLevel="0" collapsed="false">
      <c r="A614" s="17"/>
      <c r="B614" s="17"/>
      <c r="C614" s="17"/>
      <c r="D614" s="17"/>
      <c r="E614" s="17"/>
      <c r="F614" s="17"/>
      <c r="G614" s="17"/>
      <c r="H614" s="17"/>
      <c r="I614" s="17"/>
      <c r="J614" s="6" t="str">
        <f aca="false">IF(F614="","",IF(AND(F614&gt;=4,G614&gt;=4,H614&gt;=4,I614&gt;=4),"Proficient",IF(AND(F614&lt;=2,G614&lt;=2,H614&lt;=2,I614&lt;=2),"Emerging","Progressing")))</f>
        <v/>
      </c>
      <c r="K614" s="6" t="str">
        <f aca="false">IF(F614="","",IF(J614="Proficient","Yes","No"))</f>
        <v/>
      </c>
      <c r="L614" s="6" t="str">
        <f aca="false">IF(F614="","",INDEX({"Listening","Speaking","Reading","Writing"},MATCH(MIN(F614:I614),F614:I614,0)))</f>
        <v/>
      </c>
      <c r="M614" s="17"/>
      <c r="N614" s="6" t="str">
        <f aca="false">IF(OR(F614="",M614=""),"",ROUND(AVERAGE(F614:I614)-M614,1))</f>
        <v/>
      </c>
      <c r="O614" s="17"/>
      <c r="P614" s="17"/>
      <c r="Q614" s="17"/>
    </row>
    <row r="615" customFormat="false" ht="15" hidden="false" customHeight="true" outlineLevel="0" collapsed="false">
      <c r="A615" s="17"/>
      <c r="B615" s="17"/>
      <c r="C615" s="17"/>
      <c r="D615" s="17"/>
      <c r="E615" s="17"/>
      <c r="F615" s="17"/>
      <c r="G615" s="17"/>
      <c r="H615" s="17"/>
      <c r="I615" s="17"/>
      <c r="J615" s="6" t="str">
        <f aca="false">IF(F615="","",IF(AND(F615&gt;=4,G615&gt;=4,H615&gt;=4,I615&gt;=4),"Proficient",IF(AND(F615&lt;=2,G615&lt;=2,H615&lt;=2,I615&lt;=2),"Emerging","Progressing")))</f>
        <v/>
      </c>
      <c r="K615" s="6" t="str">
        <f aca="false">IF(F615="","",IF(J615="Proficient","Yes","No"))</f>
        <v/>
      </c>
      <c r="L615" s="6" t="str">
        <f aca="false">IF(F615="","",INDEX({"Listening","Speaking","Reading","Writing"},MATCH(MIN(F615:I615),F615:I615,0)))</f>
        <v/>
      </c>
      <c r="M615" s="17"/>
      <c r="N615" s="6" t="str">
        <f aca="false">IF(OR(F615="",M615=""),"",ROUND(AVERAGE(F615:I615)-M615,1))</f>
        <v/>
      </c>
      <c r="O615" s="17"/>
      <c r="P615" s="17"/>
      <c r="Q615" s="17"/>
    </row>
    <row r="616" customFormat="false" ht="15" hidden="false" customHeight="true" outlineLevel="0" collapsed="false">
      <c r="A616" s="17"/>
      <c r="B616" s="17"/>
      <c r="C616" s="17"/>
      <c r="D616" s="17"/>
      <c r="E616" s="17"/>
      <c r="F616" s="17"/>
      <c r="G616" s="17"/>
      <c r="H616" s="17"/>
      <c r="I616" s="17"/>
      <c r="J616" s="6" t="str">
        <f aca="false">IF(F616="","",IF(AND(F616&gt;=4,G616&gt;=4,H616&gt;=4,I616&gt;=4),"Proficient",IF(AND(F616&lt;=2,G616&lt;=2,H616&lt;=2,I616&lt;=2),"Emerging","Progressing")))</f>
        <v/>
      </c>
      <c r="K616" s="6" t="str">
        <f aca="false">IF(F616="","",IF(J616="Proficient","Yes","No"))</f>
        <v/>
      </c>
      <c r="L616" s="6" t="str">
        <f aca="false">IF(F616="","",INDEX({"Listening","Speaking","Reading","Writing"},MATCH(MIN(F616:I616),F616:I616,0)))</f>
        <v/>
      </c>
      <c r="M616" s="17"/>
      <c r="N616" s="6" t="str">
        <f aca="false">IF(OR(F616="",M616=""),"",ROUND(AVERAGE(F616:I616)-M616,1))</f>
        <v/>
      </c>
      <c r="O616" s="17"/>
      <c r="P616" s="17"/>
      <c r="Q616" s="17"/>
    </row>
    <row r="617" customFormat="false" ht="15" hidden="false" customHeight="true" outlineLevel="0" collapsed="false">
      <c r="A617" s="17"/>
      <c r="B617" s="17"/>
      <c r="C617" s="17"/>
      <c r="D617" s="17"/>
      <c r="E617" s="17"/>
      <c r="F617" s="17"/>
      <c r="G617" s="17"/>
      <c r="H617" s="17"/>
      <c r="I617" s="17"/>
      <c r="J617" s="6" t="str">
        <f aca="false">IF(F617="","",IF(AND(F617&gt;=4,G617&gt;=4,H617&gt;=4,I617&gt;=4),"Proficient",IF(AND(F617&lt;=2,G617&lt;=2,H617&lt;=2,I617&lt;=2),"Emerging","Progressing")))</f>
        <v/>
      </c>
      <c r="K617" s="6" t="str">
        <f aca="false">IF(F617="","",IF(J617="Proficient","Yes","No"))</f>
        <v/>
      </c>
      <c r="L617" s="6" t="str">
        <f aca="false">IF(F617="","",INDEX({"Listening","Speaking","Reading","Writing"},MATCH(MIN(F617:I617),F617:I617,0)))</f>
        <v/>
      </c>
      <c r="M617" s="17"/>
      <c r="N617" s="6" t="str">
        <f aca="false">IF(OR(F617="",M617=""),"",ROUND(AVERAGE(F617:I617)-M617,1))</f>
        <v/>
      </c>
      <c r="O617" s="17"/>
      <c r="P617" s="17"/>
      <c r="Q617" s="17"/>
    </row>
    <row r="618" customFormat="false" ht="15" hidden="false" customHeight="true" outlineLevel="0" collapsed="false">
      <c r="A618" s="17"/>
      <c r="B618" s="17"/>
      <c r="C618" s="17"/>
      <c r="D618" s="17"/>
      <c r="E618" s="17"/>
      <c r="F618" s="17"/>
      <c r="G618" s="17"/>
      <c r="H618" s="17"/>
      <c r="I618" s="17"/>
      <c r="J618" s="6" t="str">
        <f aca="false">IF(F618="","",IF(AND(F618&gt;=4,G618&gt;=4,H618&gt;=4,I618&gt;=4),"Proficient",IF(AND(F618&lt;=2,G618&lt;=2,H618&lt;=2,I618&lt;=2),"Emerging","Progressing")))</f>
        <v/>
      </c>
      <c r="K618" s="6" t="str">
        <f aca="false">IF(F618="","",IF(J618="Proficient","Yes","No"))</f>
        <v/>
      </c>
      <c r="L618" s="6" t="str">
        <f aca="false">IF(F618="","",INDEX({"Listening","Speaking","Reading","Writing"},MATCH(MIN(F618:I618),F618:I618,0)))</f>
        <v/>
      </c>
      <c r="M618" s="17"/>
      <c r="N618" s="6" t="str">
        <f aca="false">IF(OR(F618="",M618=""),"",ROUND(AVERAGE(F618:I618)-M618,1))</f>
        <v/>
      </c>
      <c r="O618" s="17"/>
      <c r="P618" s="17"/>
      <c r="Q618" s="17"/>
    </row>
    <row r="619" customFormat="false" ht="15" hidden="false" customHeight="true" outlineLevel="0" collapsed="false">
      <c r="A619" s="17"/>
      <c r="B619" s="17"/>
      <c r="C619" s="17"/>
      <c r="D619" s="17"/>
      <c r="E619" s="17"/>
      <c r="F619" s="17"/>
      <c r="G619" s="17"/>
      <c r="H619" s="17"/>
      <c r="I619" s="17"/>
      <c r="J619" s="6" t="str">
        <f aca="false">IF(F619="","",IF(AND(F619&gt;=4,G619&gt;=4,H619&gt;=4,I619&gt;=4),"Proficient",IF(AND(F619&lt;=2,G619&lt;=2,H619&lt;=2,I619&lt;=2),"Emerging","Progressing")))</f>
        <v/>
      </c>
      <c r="K619" s="6" t="str">
        <f aca="false">IF(F619="","",IF(J619="Proficient","Yes","No"))</f>
        <v/>
      </c>
      <c r="L619" s="6" t="str">
        <f aca="false">IF(F619="","",INDEX({"Listening","Speaking","Reading","Writing"},MATCH(MIN(F619:I619),F619:I619,0)))</f>
        <v/>
      </c>
      <c r="M619" s="17"/>
      <c r="N619" s="6" t="str">
        <f aca="false">IF(OR(F619="",M619=""),"",ROUND(AVERAGE(F619:I619)-M619,1))</f>
        <v/>
      </c>
      <c r="O619" s="17"/>
      <c r="P619" s="17"/>
      <c r="Q619" s="17"/>
    </row>
    <row r="620" customFormat="false" ht="15" hidden="false" customHeight="true" outlineLevel="0" collapsed="false">
      <c r="A620" s="17"/>
      <c r="B620" s="17"/>
      <c r="C620" s="17"/>
      <c r="D620" s="17"/>
      <c r="E620" s="17"/>
      <c r="F620" s="17"/>
      <c r="G620" s="17"/>
      <c r="H620" s="17"/>
      <c r="I620" s="17"/>
      <c r="J620" s="6" t="str">
        <f aca="false">IF(F620="","",IF(AND(F620&gt;=4,G620&gt;=4,H620&gt;=4,I620&gt;=4),"Proficient",IF(AND(F620&lt;=2,G620&lt;=2,H620&lt;=2,I620&lt;=2),"Emerging","Progressing")))</f>
        <v/>
      </c>
      <c r="K620" s="6" t="str">
        <f aca="false">IF(F620="","",IF(J620="Proficient","Yes","No"))</f>
        <v/>
      </c>
      <c r="L620" s="6" t="str">
        <f aca="false">IF(F620="","",INDEX({"Listening","Speaking","Reading","Writing"},MATCH(MIN(F620:I620),F620:I620,0)))</f>
        <v/>
      </c>
      <c r="M620" s="17"/>
      <c r="N620" s="6" t="str">
        <f aca="false">IF(OR(F620="",M620=""),"",ROUND(AVERAGE(F620:I620)-M620,1))</f>
        <v/>
      </c>
      <c r="O620" s="17"/>
      <c r="P620" s="17"/>
      <c r="Q620" s="17"/>
    </row>
    <row r="621" customFormat="false" ht="15" hidden="false" customHeight="true" outlineLevel="0" collapsed="false">
      <c r="A621" s="17"/>
      <c r="B621" s="17"/>
      <c r="C621" s="17"/>
      <c r="D621" s="17"/>
      <c r="E621" s="17"/>
      <c r="F621" s="17"/>
      <c r="G621" s="17"/>
      <c r="H621" s="17"/>
      <c r="I621" s="17"/>
      <c r="J621" s="6" t="str">
        <f aca="false">IF(F621="","",IF(AND(F621&gt;=4,G621&gt;=4,H621&gt;=4,I621&gt;=4),"Proficient",IF(AND(F621&lt;=2,G621&lt;=2,H621&lt;=2,I621&lt;=2),"Emerging","Progressing")))</f>
        <v/>
      </c>
      <c r="K621" s="6" t="str">
        <f aca="false">IF(F621="","",IF(J621="Proficient","Yes","No"))</f>
        <v/>
      </c>
      <c r="L621" s="6" t="str">
        <f aca="false">IF(F621="","",INDEX({"Listening","Speaking","Reading","Writing"},MATCH(MIN(F621:I621),F621:I621,0)))</f>
        <v/>
      </c>
      <c r="M621" s="17"/>
      <c r="N621" s="6" t="str">
        <f aca="false">IF(OR(F621="",M621=""),"",ROUND(AVERAGE(F621:I621)-M621,1))</f>
        <v/>
      </c>
      <c r="O621" s="17"/>
      <c r="P621" s="17"/>
      <c r="Q621" s="17"/>
    </row>
    <row r="622" customFormat="false" ht="15" hidden="false" customHeight="true" outlineLevel="0" collapsed="false">
      <c r="A622" s="17"/>
      <c r="B622" s="17"/>
      <c r="C622" s="17"/>
      <c r="D622" s="17"/>
      <c r="E622" s="17"/>
      <c r="F622" s="17"/>
      <c r="G622" s="17"/>
      <c r="H622" s="17"/>
      <c r="I622" s="17"/>
      <c r="J622" s="6" t="str">
        <f aca="false">IF(F622="","",IF(AND(F622&gt;=4,G622&gt;=4,H622&gt;=4,I622&gt;=4),"Proficient",IF(AND(F622&lt;=2,G622&lt;=2,H622&lt;=2,I622&lt;=2),"Emerging","Progressing")))</f>
        <v/>
      </c>
      <c r="K622" s="6" t="str">
        <f aca="false">IF(F622="","",IF(J622="Proficient","Yes","No"))</f>
        <v/>
      </c>
      <c r="L622" s="6" t="str">
        <f aca="false">IF(F622="","",INDEX({"Listening","Speaking","Reading","Writing"},MATCH(MIN(F622:I622),F622:I622,0)))</f>
        <v/>
      </c>
      <c r="M622" s="17"/>
      <c r="N622" s="6" t="str">
        <f aca="false">IF(OR(F622="",M622=""),"",ROUND(AVERAGE(F622:I622)-M622,1))</f>
        <v/>
      </c>
      <c r="O622" s="17"/>
      <c r="P622" s="17"/>
      <c r="Q622" s="17"/>
    </row>
    <row r="623" customFormat="false" ht="15" hidden="false" customHeight="true" outlineLevel="0" collapsed="false">
      <c r="A623" s="17"/>
      <c r="B623" s="17"/>
      <c r="C623" s="17"/>
      <c r="D623" s="17"/>
      <c r="E623" s="17"/>
      <c r="F623" s="17"/>
      <c r="G623" s="17"/>
      <c r="H623" s="17"/>
      <c r="I623" s="17"/>
      <c r="J623" s="6" t="str">
        <f aca="false">IF(F623="","",IF(AND(F623&gt;=4,G623&gt;=4,H623&gt;=4,I623&gt;=4),"Proficient",IF(AND(F623&lt;=2,G623&lt;=2,H623&lt;=2,I623&lt;=2),"Emerging","Progressing")))</f>
        <v/>
      </c>
      <c r="K623" s="6" t="str">
        <f aca="false">IF(F623="","",IF(J623="Proficient","Yes","No"))</f>
        <v/>
      </c>
      <c r="L623" s="6" t="str">
        <f aca="false">IF(F623="","",INDEX({"Listening","Speaking","Reading","Writing"},MATCH(MIN(F623:I623),F623:I623,0)))</f>
        <v/>
      </c>
      <c r="M623" s="17"/>
      <c r="N623" s="6" t="str">
        <f aca="false">IF(OR(F623="",M623=""),"",ROUND(AVERAGE(F623:I623)-M623,1))</f>
        <v/>
      </c>
      <c r="O623" s="17"/>
      <c r="P623" s="17"/>
      <c r="Q623" s="17"/>
    </row>
    <row r="624" customFormat="false" ht="15" hidden="false" customHeight="true" outlineLevel="0" collapsed="false">
      <c r="A624" s="17"/>
      <c r="B624" s="17"/>
      <c r="C624" s="17"/>
      <c r="D624" s="17"/>
      <c r="E624" s="17"/>
      <c r="F624" s="17"/>
      <c r="G624" s="17"/>
      <c r="H624" s="17"/>
      <c r="I624" s="17"/>
      <c r="J624" s="6" t="str">
        <f aca="false">IF(F624="","",IF(AND(F624&gt;=4,G624&gt;=4,H624&gt;=4,I624&gt;=4),"Proficient",IF(AND(F624&lt;=2,G624&lt;=2,H624&lt;=2,I624&lt;=2),"Emerging","Progressing")))</f>
        <v/>
      </c>
      <c r="K624" s="6" t="str">
        <f aca="false">IF(F624="","",IF(J624="Proficient","Yes","No"))</f>
        <v/>
      </c>
      <c r="L624" s="6" t="str">
        <f aca="false">IF(F624="","",INDEX({"Listening","Speaking","Reading","Writing"},MATCH(MIN(F624:I624),F624:I624,0)))</f>
        <v/>
      </c>
      <c r="M624" s="17"/>
      <c r="N624" s="6" t="str">
        <f aca="false">IF(OR(F624="",M624=""),"",ROUND(AVERAGE(F624:I624)-M624,1))</f>
        <v/>
      </c>
      <c r="O624" s="17"/>
      <c r="P624" s="17"/>
      <c r="Q624" s="17"/>
    </row>
    <row r="625" customFormat="false" ht="15" hidden="false" customHeight="true" outlineLevel="0" collapsed="false">
      <c r="A625" s="17"/>
      <c r="B625" s="17"/>
      <c r="C625" s="17"/>
      <c r="D625" s="17"/>
      <c r="E625" s="17"/>
      <c r="F625" s="17"/>
      <c r="G625" s="17"/>
      <c r="H625" s="17"/>
      <c r="I625" s="17"/>
      <c r="J625" s="6" t="str">
        <f aca="false">IF(F625="","",IF(AND(F625&gt;=4,G625&gt;=4,H625&gt;=4,I625&gt;=4),"Proficient",IF(AND(F625&lt;=2,G625&lt;=2,H625&lt;=2,I625&lt;=2),"Emerging","Progressing")))</f>
        <v/>
      </c>
      <c r="K625" s="6" t="str">
        <f aca="false">IF(F625="","",IF(J625="Proficient","Yes","No"))</f>
        <v/>
      </c>
      <c r="L625" s="6" t="str">
        <f aca="false">IF(F625="","",INDEX({"Listening","Speaking","Reading","Writing"},MATCH(MIN(F625:I625),F625:I625,0)))</f>
        <v/>
      </c>
      <c r="M625" s="17"/>
      <c r="N625" s="6" t="str">
        <f aca="false">IF(OR(F625="",M625=""),"",ROUND(AVERAGE(F625:I625)-M625,1))</f>
        <v/>
      </c>
      <c r="O625" s="17"/>
      <c r="P625" s="17"/>
      <c r="Q625" s="17"/>
    </row>
    <row r="626" customFormat="false" ht="15" hidden="false" customHeight="true" outlineLevel="0" collapsed="false">
      <c r="A626" s="17"/>
      <c r="B626" s="17"/>
      <c r="C626" s="17"/>
      <c r="D626" s="17"/>
      <c r="E626" s="17"/>
      <c r="F626" s="17"/>
      <c r="G626" s="17"/>
      <c r="H626" s="17"/>
      <c r="I626" s="17"/>
      <c r="J626" s="6" t="str">
        <f aca="false">IF(F626="","",IF(AND(F626&gt;=4,G626&gt;=4,H626&gt;=4,I626&gt;=4),"Proficient",IF(AND(F626&lt;=2,G626&lt;=2,H626&lt;=2,I626&lt;=2),"Emerging","Progressing")))</f>
        <v/>
      </c>
      <c r="K626" s="6" t="str">
        <f aca="false">IF(F626="","",IF(J626="Proficient","Yes","No"))</f>
        <v/>
      </c>
      <c r="L626" s="6" t="str">
        <f aca="false">IF(F626="","",INDEX({"Listening","Speaking","Reading","Writing"},MATCH(MIN(F626:I626),F626:I626,0)))</f>
        <v/>
      </c>
      <c r="M626" s="17"/>
      <c r="N626" s="6" t="str">
        <f aca="false">IF(OR(F626="",M626=""),"",ROUND(AVERAGE(F626:I626)-M626,1))</f>
        <v/>
      </c>
      <c r="O626" s="17"/>
      <c r="P626" s="17"/>
      <c r="Q626" s="17"/>
    </row>
    <row r="627" customFormat="false" ht="15" hidden="false" customHeight="true" outlineLevel="0" collapsed="false">
      <c r="A627" s="17"/>
      <c r="B627" s="17"/>
      <c r="C627" s="17"/>
      <c r="D627" s="17"/>
      <c r="E627" s="17"/>
      <c r="F627" s="17"/>
      <c r="G627" s="17"/>
      <c r="H627" s="17"/>
      <c r="I627" s="17"/>
      <c r="J627" s="6" t="str">
        <f aca="false">IF(F627="","",IF(AND(F627&gt;=4,G627&gt;=4,H627&gt;=4,I627&gt;=4),"Proficient",IF(AND(F627&lt;=2,G627&lt;=2,H627&lt;=2,I627&lt;=2),"Emerging","Progressing")))</f>
        <v/>
      </c>
      <c r="K627" s="6" t="str">
        <f aca="false">IF(F627="","",IF(J627="Proficient","Yes","No"))</f>
        <v/>
      </c>
      <c r="L627" s="6" t="str">
        <f aca="false">IF(F627="","",INDEX({"Listening","Speaking","Reading","Writing"},MATCH(MIN(F627:I627),F627:I627,0)))</f>
        <v/>
      </c>
      <c r="M627" s="17"/>
      <c r="N627" s="6" t="str">
        <f aca="false">IF(OR(F627="",M627=""),"",ROUND(AVERAGE(F627:I627)-M627,1))</f>
        <v/>
      </c>
      <c r="O627" s="17"/>
      <c r="P627" s="17"/>
      <c r="Q627" s="17"/>
    </row>
    <row r="628" customFormat="false" ht="15" hidden="false" customHeight="true" outlineLevel="0" collapsed="false">
      <c r="A628" s="17"/>
      <c r="B628" s="17"/>
      <c r="C628" s="17"/>
      <c r="D628" s="17"/>
      <c r="E628" s="17"/>
      <c r="F628" s="17"/>
      <c r="G628" s="17"/>
      <c r="H628" s="17"/>
      <c r="I628" s="17"/>
      <c r="J628" s="6" t="str">
        <f aca="false">IF(F628="","",IF(AND(F628&gt;=4,G628&gt;=4,H628&gt;=4,I628&gt;=4),"Proficient",IF(AND(F628&lt;=2,G628&lt;=2,H628&lt;=2,I628&lt;=2),"Emerging","Progressing")))</f>
        <v/>
      </c>
      <c r="K628" s="6" t="str">
        <f aca="false">IF(F628="","",IF(J628="Proficient","Yes","No"))</f>
        <v/>
      </c>
      <c r="L628" s="6" t="str">
        <f aca="false">IF(F628="","",INDEX({"Listening","Speaking","Reading","Writing"},MATCH(MIN(F628:I628),F628:I628,0)))</f>
        <v/>
      </c>
      <c r="M628" s="17"/>
      <c r="N628" s="6" t="str">
        <f aca="false">IF(OR(F628="",M628=""),"",ROUND(AVERAGE(F628:I628)-M628,1))</f>
        <v/>
      </c>
      <c r="O628" s="17"/>
      <c r="P628" s="17"/>
      <c r="Q628" s="17"/>
    </row>
    <row r="629" customFormat="false" ht="15" hidden="false" customHeight="true" outlineLevel="0" collapsed="false">
      <c r="A629" s="17"/>
      <c r="B629" s="17"/>
      <c r="C629" s="17"/>
      <c r="D629" s="17"/>
      <c r="E629" s="17"/>
      <c r="F629" s="17"/>
      <c r="G629" s="17"/>
      <c r="H629" s="17"/>
      <c r="I629" s="17"/>
      <c r="J629" s="6" t="str">
        <f aca="false">IF(F629="","",IF(AND(F629&gt;=4,G629&gt;=4,H629&gt;=4,I629&gt;=4),"Proficient",IF(AND(F629&lt;=2,G629&lt;=2,H629&lt;=2,I629&lt;=2),"Emerging","Progressing")))</f>
        <v/>
      </c>
      <c r="K629" s="6" t="str">
        <f aca="false">IF(F629="","",IF(J629="Proficient","Yes","No"))</f>
        <v/>
      </c>
      <c r="L629" s="6" t="str">
        <f aca="false">IF(F629="","",INDEX({"Listening","Speaking","Reading","Writing"},MATCH(MIN(F629:I629),F629:I629,0)))</f>
        <v/>
      </c>
      <c r="M629" s="17"/>
      <c r="N629" s="6" t="str">
        <f aca="false">IF(OR(F629="",M629=""),"",ROUND(AVERAGE(F629:I629)-M629,1))</f>
        <v/>
      </c>
      <c r="O629" s="17"/>
      <c r="P629" s="17"/>
      <c r="Q629" s="17"/>
    </row>
    <row r="630" customFormat="false" ht="15" hidden="false" customHeight="true" outlineLevel="0" collapsed="false">
      <c r="A630" s="17"/>
      <c r="B630" s="17"/>
      <c r="C630" s="17"/>
      <c r="D630" s="17"/>
      <c r="E630" s="17"/>
      <c r="F630" s="17"/>
      <c r="G630" s="17"/>
      <c r="H630" s="17"/>
      <c r="I630" s="17"/>
      <c r="J630" s="6" t="str">
        <f aca="false">IF(F630="","",IF(AND(F630&gt;=4,G630&gt;=4,H630&gt;=4,I630&gt;=4),"Proficient",IF(AND(F630&lt;=2,G630&lt;=2,H630&lt;=2,I630&lt;=2),"Emerging","Progressing")))</f>
        <v/>
      </c>
      <c r="K630" s="6" t="str">
        <f aca="false">IF(F630="","",IF(J630="Proficient","Yes","No"))</f>
        <v/>
      </c>
      <c r="L630" s="6" t="str">
        <f aca="false">IF(F630="","",INDEX({"Listening","Speaking","Reading","Writing"},MATCH(MIN(F630:I630),F630:I630,0)))</f>
        <v/>
      </c>
      <c r="M630" s="17"/>
      <c r="N630" s="6" t="str">
        <f aca="false">IF(OR(F630="",M630=""),"",ROUND(AVERAGE(F630:I630)-M630,1))</f>
        <v/>
      </c>
      <c r="O630" s="17"/>
      <c r="P630" s="17"/>
      <c r="Q630" s="17"/>
    </row>
    <row r="631" customFormat="false" ht="15" hidden="false" customHeight="true" outlineLevel="0" collapsed="false">
      <c r="A631" s="17"/>
      <c r="B631" s="17"/>
      <c r="C631" s="17"/>
      <c r="D631" s="17"/>
      <c r="E631" s="17"/>
      <c r="F631" s="17"/>
      <c r="G631" s="17"/>
      <c r="H631" s="17"/>
      <c r="I631" s="17"/>
      <c r="J631" s="6" t="str">
        <f aca="false">IF(F631="","",IF(AND(F631&gt;=4,G631&gt;=4,H631&gt;=4,I631&gt;=4),"Proficient",IF(AND(F631&lt;=2,G631&lt;=2,H631&lt;=2,I631&lt;=2),"Emerging","Progressing")))</f>
        <v/>
      </c>
      <c r="K631" s="6" t="str">
        <f aca="false">IF(F631="","",IF(J631="Proficient","Yes","No"))</f>
        <v/>
      </c>
      <c r="L631" s="6" t="str">
        <f aca="false">IF(F631="","",INDEX({"Listening","Speaking","Reading","Writing"},MATCH(MIN(F631:I631),F631:I631,0)))</f>
        <v/>
      </c>
      <c r="M631" s="17"/>
      <c r="N631" s="6" t="str">
        <f aca="false">IF(OR(F631="",M631=""),"",ROUND(AVERAGE(F631:I631)-M631,1))</f>
        <v/>
      </c>
      <c r="O631" s="17"/>
      <c r="P631" s="17"/>
      <c r="Q631" s="17"/>
    </row>
    <row r="632" customFormat="false" ht="15" hidden="false" customHeight="true" outlineLevel="0" collapsed="false">
      <c r="A632" s="17"/>
      <c r="B632" s="17"/>
      <c r="C632" s="17"/>
      <c r="D632" s="17"/>
      <c r="E632" s="17"/>
      <c r="F632" s="17"/>
      <c r="G632" s="17"/>
      <c r="H632" s="17"/>
      <c r="I632" s="17"/>
      <c r="J632" s="6" t="str">
        <f aca="false">IF(F632="","",IF(AND(F632&gt;=4,G632&gt;=4,H632&gt;=4,I632&gt;=4),"Proficient",IF(AND(F632&lt;=2,G632&lt;=2,H632&lt;=2,I632&lt;=2),"Emerging","Progressing")))</f>
        <v/>
      </c>
      <c r="K632" s="6" t="str">
        <f aca="false">IF(F632="","",IF(J632="Proficient","Yes","No"))</f>
        <v/>
      </c>
      <c r="L632" s="6" t="str">
        <f aca="false">IF(F632="","",INDEX({"Listening","Speaking","Reading","Writing"},MATCH(MIN(F632:I632),F632:I632,0)))</f>
        <v/>
      </c>
      <c r="M632" s="17"/>
      <c r="N632" s="6" t="str">
        <f aca="false">IF(OR(F632="",M632=""),"",ROUND(AVERAGE(F632:I632)-M632,1))</f>
        <v/>
      </c>
      <c r="O632" s="17"/>
      <c r="P632" s="17"/>
      <c r="Q632" s="17"/>
    </row>
    <row r="633" customFormat="false" ht="15" hidden="false" customHeight="true" outlineLevel="0" collapsed="false">
      <c r="A633" s="17"/>
      <c r="B633" s="17"/>
      <c r="C633" s="17"/>
      <c r="D633" s="17"/>
      <c r="E633" s="17"/>
      <c r="F633" s="17"/>
      <c r="G633" s="17"/>
      <c r="H633" s="17"/>
      <c r="I633" s="17"/>
      <c r="J633" s="6" t="str">
        <f aca="false">IF(F633="","",IF(AND(F633&gt;=4,G633&gt;=4,H633&gt;=4,I633&gt;=4),"Proficient",IF(AND(F633&lt;=2,G633&lt;=2,H633&lt;=2,I633&lt;=2),"Emerging","Progressing")))</f>
        <v/>
      </c>
      <c r="K633" s="6" t="str">
        <f aca="false">IF(F633="","",IF(J633="Proficient","Yes","No"))</f>
        <v/>
      </c>
      <c r="L633" s="6" t="str">
        <f aca="false">IF(F633="","",INDEX({"Listening","Speaking","Reading","Writing"},MATCH(MIN(F633:I633),F633:I633,0)))</f>
        <v/>
      </c>
      <c r="M633" s="17"/>
      <c r="N633" s="6" t="str">
        <f aca="false">IF(OR(F633="",M633=""),"",ROUND(AVERAGE(F633:I633)-M633,1))</f>
        <v/>
      </c>
      <c r="O633" s="17"/>
      <c r="P633" s="17"/>
      <c r="Q633" s="17"/>
    </row>
    <row r="634" customFormat="false" ht="15" hidden="false" customHeight="true" outlineLevel="0" collapsed="false">
      <c r="A634" s="17"/>
      <c r="B634" s="17"/>
      <c r="C634" s="17"/>
      <c r="D634" s="17"/>
      <c r="E634" s="17"/>
      <c r="F634" s="17"/>
      <c r="G634" s="17"/>
      <c r="H634" s="17"/>
      <c r="I634" s="17"/>
      <c r="J634" s="6" t="str">
        <f aca="false">IF(F634="","",IF(AND(F634&gt;=4,G634&gt;=4,H634&gt;=4,I634&gt;=4),"Proficient",IF(AND(F634&lt;=2,G634&lt;=2,H634&lt;=2,I634&lt;=2),"Emerging","Progressing")))</f>
        <v/>
      </c>
      <c r="K634" s="6" t="str">
        <f aca="false">IF(F634="","",IF(J634="Proficient","Yes","No"))</f>
        <v/>
      </c>
      <c r="L634" s="6" t="str">
        <f aca="false">IF(F634="","",INDEX({"Listening","Speaking","Reading","Writing"},MATCH(MIN(F634:I634),F634:I634,0)))</f>
        <v/>
      </c>
      <c r="M634" s="17"/>
      <c r="N634" s="6" t="str">
        <f aca="false">IF(OR(F634="",M634=""),"",ROUND(AVERAGE(F634:I634)-M634,1))</f>
        <v/>
      </c>
      <c r="O634" s="17"/>
      <c r="P634" s="17"/>
      <c r="Q634" s="17"/>
    </row>
    <row r="635" customFormat="false" ht="15" hidden="false" customHeight="true" outlineLevel="0" collapsed="false">
      <c r="A635" s="17"/>
      <c r="B635" s="17"/>
      <c r="C635" s="17"/>
      <c r="D635" s="17"/>
      <c r="E635" s="17"/>
      <c r="F635" s="17"/>
      <c r="G635" s="17"/>
      <c r="H635" s="17"/>
      <c r="I635" s="17"/>
      <c r="J635" s="6" t="str">
        <f aca="false">IF(F635="","",IF(AND(F635&gt;=4,G635&gt;=4,H635&gt;=4,I635&gt;=4),"Proficient",IF(AND(F635&lt;=2,G635&lt;=2,H635&lt;=2,I635&lt;=2),"Emerging","Progressing")))</f>
        <v/>
      </c>
      <c r="K635" s="6" t="str">
        <f aca="false">IF(F635="","",IF(J635="Proficient","Yes","No"))</f>
        <v/>
      </c>
      <c r="L635" s="6" t="str">
        <f aca="false">IF(F635="","",INDEX({"Listening","Speaking","Reading","Writing"},MATCH(MIN(F635:I635),F635:I635,0)))</f>
        <v/>
      </c>
      <c r="M635" s="17"/>
      <c r="N635" s="6" t="str">
        <f aca="false">IF(OR(F635="",M635=""),"",ROUND(AVERAGE(F635:I635)-M635,1))</f>
        <v/>
      </c>
      <c r="O635" s="17"/>
      <c r="P635" s="17"/>
      <c r="Q635" s="17"/>
    </row>
    <row r="636" customFormat="false" ht="15" hidden="false" customHeight="true" outlineLevel="0" collapsed="false">
      <c r="A636" s="17"/>
      <c r="B636" s="17"/>
      <c r="C636" s="17"/>
      <c r="D636" s="17"/>
      <c r="E636" s="17"/>
      <c r="F636" s="17"/>
      <c r="G636" s="17"/>
      <c r="H636" s="17"/>
      <c r="I636" s="17"/>
      <c r="J636" s="6" t="str">
        <f aca="false">IF(F636="","",IF(AND(F636&gt;=4,G636&gt;=4,H636&gt;=4,I636&gt;=4),"Proficient",IF(AND(F636&lt;=2,G636&lt;=2,H636&lt;=2,I636&lt;=2),"Emerging","Progressing")))</f>
        <v/>
      </c>
      <c r="K636" s="6" t="str">
        <f aca="false">IF(F636="","",IF(J636="Proficient","Yes","No"))</f>
        <v/>
      </c>
      <c r="L636" s="6" t="str">
        <f aca="false">IF(F636="","",INDEX({"Listening","Speaking","Reading","Writing"},MATCH(MIN(F636:I636),F636:I636,0)))</f>
        <v/>
      </c>
      <c r="M636" s="17"/>
      <c r="N636" s="6" t="str">
        <f aca="false">IF(OR(F636="",M636=""),"",ROUND(AVERAGE(F636:I636)-M636,1))</f>
        <v/>
      </c>
      <c r="O636" s="17"/>
      <c r="P636" s="17"/>
      <c r="Q636" s="17"/>
    </row>
    <row r="637" customFormat="false" ht="15" hidden="false" customHeight="true" outlineLevel="0" collapsed="false">
      <c r="A637" s="17"/>
      <c r="B637" s="17"/>
      <c r="C637" s="17"/>
      <c r="D637" s="17"/>
      <c r="E637" s="17"/>
      <c r="F637" s="17"/>
      <c r="G637" s="17"/>
      <c r="H637" s="17"/>
      <c r="I637" s="17"/>
      <c r="J637" s="6" t="str">
        <f aca="false">IF(F637="","",IF(AND(F637&gt;=4,G637&gt;=4,H637&gt;=4,I637&gt;=4),"Proficient",IF(AND(F637&lt;=2,G637&lt;=2,H637&lt;=2,I637&lt;=2),"Emerging","Progressing")))</f>
        <v/>
      </c>
      <c r="K637" s="6" t="str">
        <f aca="false">IF(F637="","",IF(J637="Proficient","Yes","No"))</f>
        <v/>
      </c>
      <c r="L637" s="6" t="str">
        <f aca="false">IF(F637="","",INDEX({"Listening","Speaking","Reading","Writing"},MATCH(MIN(F637:I637),F637:I637,0)))</f>
        <v/>
      </c>
      <c r="M637" s="17"/>
      <c r="N637" s="6" t="str">
        <f aca="false">IF(OR(F637="",M637=""),"",ROUND(AVERAGE(F637:I637)-M637,1))</f>
        <v/>
      </c>
      <c r="O637" s="17"/>
      <c r="P637" s="17"/>
      <c r="Q637" s="17"/>
    </row>
    <row r="638" customFormat="false" ht="15" hidden="false" customHeight="true" outlineLevel="0" collapsed="false">
      <c r="A638" s="17"/>
      <c r="B638" s="17"/>
      <c r="C638" s="17"/>
      <c r="D638" s="17"/>
      <c r="E638" s="17"/>
      <c r="F638" s="17"/>
      <c r="G638" s="17"/>
      <c r="H638" s="17"/>
      <c r="I638" s="17"/>
      <c r="J638" s="6" t="str">
        <f aca="false">IF(F638="","",IF(AND(F638&gt;=4,G638&gt;=4,H638&gt;=4,I638&gt;=4),"Proficient",IF(AND(F638&lt;=2,G638&lt;=2,H638&lt;=2,I638&lt;=2),"Emerging","Progressing")))</f>
        <v/>
      </c>
      <c r="K638" s="6" t="str">
        <f aca="false">IF(F638="","",IF(J638="Proficient","Yes","No"))</f>
        <v/>
      </c>
      <c r="L638" s="6" t="str">
        <f aca="false">IF(F638="","",INDEX({"Listening","Speaking","Reading","Writing"},MATCH(MIN(F638:I638),F638:I638,0)))</f>
        <v/>
      </c>
      <c r="M638" s="17"/>
      <c r="N638" s="6" t="str">
        <f aca="false">IF(OR(F638="",M638=""),"",ROUND(AVERAGE(F638:I638)-M638,1))</f>
        <v/>
      </c>
      <c r="O638" s="17"/>
      <c r="P638" s="17"/>
      <c r="Q638" s="17"/>
    </row>
    <row r="639" customFormat="false" ht="15" hidden="false" customHeight="true" outlineLevel="0" collapsed="false">
      <c r="A639" s="17"/>
      <c r="B639" s="17"/>
      <c r="C639" s="17"/>
      <c r="D639" s="17"/>
      <c r="E639" s="17"/>
      <c r="F639" s="17"/>
      <c r="G639" s="17"/>
      <c r="H639" s="17"/>
      <c r="I639" s="17"/>
      <c r="J639" s="6" t="str">
        <f aca="false">IF(F639="","",IF(AND(F639&gt;=4,G639&gt;=4,H639&gt;=4,I639&gt;=4),"Proficient",IF(AND(F639&lt;=2,G639&lt;=2,H639&lt;=2,I639&lt;=2),"Emerging","Progressing")))</f>
        <v/>
      </c>
      <c r="K639" s="6" t="str">
        <f aca="false">IF(F639="","",IF(J639="Proficient","Yes","No"))</f>
        <v/>
      </c>
      <c r="L639" s="6" t="str">
        <f aca="false">IF(F639="","",INDEX({"Listening","Speaking","Reading","Writing"},MATCH(MIN(F639:I639),F639:I639,0)))</f>
        <v/>
      </c>
      <c r="M639" s="17"/>
      <c r="N639" s="6" t="str">
        <f aca="false">IF(OR(F639="",M639=""),"",ROUND(AVERAGE(F639:I639)-M639,1))</f>
        <v/>
      </c>
      <c r="O639" s="17"/>
      <c r="P639" s="17"/>
      <c r="Q639" s="17"/>
    </row>
    <row r="640" customFormat="false" ht="15" hidden="false" customHeight="true" outlineLevel="0" collapsed="false">
      <c r="A640" s="17"/>
      <c r="B640" s="17"/>
      <c r="C640" s="17"/>
      <c r="D640" s="17"/>
      <c r="E640" s="17"/>
      <c r="F640" s="17"/>
      <c r="G640" s="17"/>
      <c r="H640" s="17"/>
      <c r="I640" s="17"/>
      <c r="J640" s="6" t="str">
        <f aca="false">IF(F640="","",IF(AND(F640&gt;=4,G640&gt;=4,H640&gt;=4,I640&gt;=4),"Proficient",IF(AND(F640&lt;=2,G640&lt;=2,H640&lt;=2,I640&lt;=2),"Emerging","Progressing")))</f>
        <v/>
      </c>
      <c r="K640" s="6" t="str">
        <f aca="false">IF(F640="","",IF(J640="Proficient","Yes","No"))</f>
        <v/>
      </c>
      <c r="L640" s="6" t="str">
        <f aca="false">IF(F640="","",INDEX({"Listening","Speaking","Reading","Writing"},MATCH(MIN(F640:I640),F640:I640,0)))</f>
        <v/>
      </c>
      <c r="M640" s="17"/>
      <c r="N640" s="6" t="str">
        <f aca="false">IF(OR(F640="",M640=""),"",ROUND(AVERAGE(F640:I640)-M640,1))</f>
        <v/>
      </c>
      <c r="O640" s="17"/>
      <c r="P640" s="17"/>
      <c r="Q640" s="17"/>
    </row>
    <row r="641" customFormat="false" ht="15" hidden="false" customHeight="true" outlineLevel="0" collapsed="false">
      <c r="A641" s="17"/>
      <c r="B641" s="17"/>
      <c r="C641" s="17"/>
      <c r="D641" s="17"/>
      <c r="E641" s="17"/>
      <c r="F641" s="17"/>
      <c r="G641" s="17"/>
      <c r="H641" s="17"/>
      <c r="I641" s="17"/>
      <c r="J641" s="6" t="str">
        <f aca="false">IF(F641="","",IF(AND(F641&gt;=4,G641&gt;=4,H641&gt;=4,I641&gt;=4),"Proficient",IF(AND(F641&lt;=2,G641&lt;=2,H641&lt;=2,I641&lt;=2),"Emerging","Progressing")))</f>
        <v/>
      </c>
      <c r="K641" s="6" t="str">
        <f aca="false">IF(F641="","",IF(J641="Proficient","Yes","No"))</f>
        <v/>
      </c>
      <c r="L641" s="6" t="str">
        <f aca="false">IF(F641="","",INDEX({"Listening","Speaking","Reading","Writing"},MATCH(MIN(F641:I641),F641:I641,0)))</f>
        <v/>
      </c>
      <c r="M641" s="17"/>
      <c r="N641" s="6" t="str">
        <f aca="false">IF(OR(F641="",M641=""),"",ROUND(AVERAGE(F641:I641)-M641,1))</f>
        <v/>
      </c>
      <c r="O641" s="17"/>
      <c r="P641" s="17"/>
      <c r="Q641" s="17"/>
    </row>
    <row r="642" customFormat="false" ht="15" hidden="false" customHeight="true" outlineLevel="0" collapsed="false">
      <c r="A642" s="17"/>
      <c r="B642" s="17"/>
      <c r="C642" s="17"/>
      <c r="D642" s="17"/>
      <c r="E642" s="17"/>
      <c r="F642" s="17"/>
      <c r="G642" s="17"/>
      <c r="H642" s="17"/>
      <c r="I642" s="17"/>
      <c r="J642" s="6" t="str">
        <f aca="false">IF(F642="","",IF(AND(F642&gt;=4,G642&gt;=4,H642&gt;=4,I642&gt;=4),"Proficient",IF(AND(F642&lt;=2,G642&lt;=2,H642&lt;=2,I642&lt;=2),"Emerging","Progressing")))</f>
        <v/>
      </c>
      <c r="K642" s="6" t="str">
        <f aca="false">IF(F642="","",IF(J642="Proficient","Yes","No"))</f>
        <v/>
      </c>
      <c r="L642" s="6" t="str">
        <f aca="false">IF(F642="","",INDEX({"Listening","Speaking","Reading","Writing"},MATCH(MIN(F642:I642),F642:I642,0)))</f>
        <v/>
      </c>
      <c r="M642" s="17"/>
      <c r="N642" s="6" t="str">
        <f aca="false">IF(OR(F642="",M642=""),"",ROUND(AVERAGE(F642:I642)-M642,1))</f>
        <v/>
      </c>
      <c r="O642" s="17"/>
      <c r="P642" s="17"/>
      <c r="Q642" s="17"/>
    </row>
    <row r="643" customFormat="false" ht="15" hidden="false" customHeight="true" outlineLevel="0" collapsed="false">
      <c r="A643" s="17"/>
      <c r="B643" s="17"/>
      <c r="C643" s="17"/>
      <c r="D643" s="17"/>
      <c r="E643" s="17"/>
      <c r="F643" s="17"/>
      <c r="G643" s="17"/>
      <c r="H643" s="17"/>
      <c r="I643" s="17"/>
      <c r="J643" s="6" t="str">
        <f aca="false">IF(F643="","",IF(AND(F643&gt;=4,G643&gt;=4,H643&gt;=4,I643&gt;=4),"Proficient",IF(AND(F643&lt;=2,G643&lt;=2,H643&lt;=2,I643&lt;=2),"Emerging","Progressing")))</f>
        <v/>
      </c>
      <c r="K643" s="6" t="str">
        <f aca="false">IF(F643="","",IF(J643="Proficient","Yes","No"))</f>
        <v/>
      </c>
      <c r="L643" s="6" t="str">
        <f aca="false">IF(F643="","",INDEX({"Listening","Speaking","Reading","Writing"},MATCH(MIN(F643:I643),F643:I643,0)))</f>
        <v/>
      </c>
      <c r="M643" s="17"/>
      <c r="N643" s="6" t="str">
        <f aca="false">IF(OR(F643="",M643=""),"",ROUND(AVERAGE(F643:I643)-M643,1))</f>
        <v/>
      </c>
      <c r="O643" s="17"/>
      <c r="P643" s="17"/>
      <c r="Q643" s="17"/>
    </row>
    <row r="644" customFormat="false" ht="15" hidden="false" customHeight="true" outlineLevel="0" collapsed="false">
      <c r="A644" s="17"/>
      <c r="B644" s="17"/>
      <c r="C644" s="17"/>
      <c r="D644" s="17"/>
      <c r="E644" s="17"/>
      <c r="F644" s="17"/>
      <c r="G644" s="17"/>
      <c r="H644" s="17"/>
      <c r="I644" s="17"/>
      <c r="J644" s="6" t="str">
        <f aca="false">IF(F644="","",IF(AND(F644&gt;=4,G644&gt;=4,H644&gt;=4,I644&gt;=4),"Proficient",IF(AND(F644&lt;=2,G644&lt;=2,H644&lt;=2,I644&lt;=2),"Emerging","Progressing")))</f>
        <v/>
      </c>
      <c r="K644" s="6" t="str">
        <f aca="false">IF(F644="","",IF(J644="Proficient","Yes","No"))</f>
        <v/>
      </c>
      <c r="L644" s="6" t="str">
        <f aca="false">IF(F644="","",INDEX({"Listening","Speaking","Reading","Writing"},MATCH(MIN(F644:I644),F644:I644,0)))</f>
        <v/>
      </c>
      <c r="M644" s="17"/>
      <c r="N644" s="6" t="str">
        <f aca="false">IF(OR(F644="",M644=""),"",ROUND(AVERAGE(F644:I644)-M644,1))</f>
        <v/>
      </c>
      <c r="O644" s="17"/>
      <c r="P644" s="17"/>
      <c r="Q644" s="17"/>
    </row>
    <row r="645" customFormat="false" ht="15" hidden="false" customHeight="true" outlineLevel="0" collapsed="false">
      <c r="A645" s="17"/>
      <c r="B645" s="17"/>
      <c r="C645" s="17"/>
      <c r="D645" s="17"/>
      <c r="E645" s="17"/>
      <c r="F645" s="17"/>
      <c r="G645" s="17"/>
      <c r="H645" s="17"/>
      <c r="I645" s="17"/>
      <c r="J645" s="6" t="str">
        <f aca="false">IF(F645="","",IF(AND(F645&gt;=4,G645&gt;=4,H645&gt;=4,I645&gt;=4),"Proficient",IF(AND(F645&lt;=2,G645&lt;=2,H645&lt;=2,I645&lt;=2),"Emerging","Progressing")))</f>
        <v/>
      </c>
      <c r="K645" s="6" t="str">
        <f aca="false">IF(F645="","",IF(J645="Proficient","Yes","No"))</f>
        <v/>
      </c>
      <c r="L645" s="6" t="str">
        <f aca="false">IF(F645="","",INDEX({"Listening","Speaking","Reading","Writing"},MATCH(MIN(F645:I645),F645:I645,0)))</f>
        <v/>
      </c>
      <c r="M645" s="17"/>
      <c r="N645" s="6" t="str">
        <f aca="false">IF(OR(F645="",M645=""),"",ROUND(AVERAGE(F645:I645)-M645,1))</f>
        <v/>
      </c>
      <c r="O645" s="17"/>
      <c r="P645" s="17"/>
      <c r="Q645" s="17"/>
    </row>
    <row r="646" customFormat="false" ht="15" hidden="false" customHeight="true" outlineLevel="0" collapsed="false">
      <c r="A646" s="17"/>
      <c r="B646" s="17"/>
      <c r="C646" s="17"/>
      <c r="D646" s="17"/>
      <c r="E646" s="17"/>
      <c r="F646" s="17"/>
      <c r="G646" s="17"/>
      <c r="H646" s="17"/>
      <c r="I646" s="17"/>
      <c r="J646" s="6" t="str">
        <f aca="false">IF(F646="","",IF(AND(F646&gt;=4,G646&gt;=4,H646&gt;=4,I646&gt;=4),"Proficient",IF(AND(F646&lt;=2,G646&lt;=2,H646&lt;=2,I646&lt;=2),"Emerging","Progressing")))</f>
        <v/>
      </c>
      <c r="K646" s="6" t="str">
        <f aca="false">IF(F646="","",IF(J646="Proficient","Yes","No"))</f>
        <v/>
      </c>
      <c r="L646" s="6" t="str">
        <f aca="false">IF(F646="","",INDEX({"Listening","Speaking","Reading","Writing"},MATCH(MIN(F646:I646),F646:I646,0)))</f>
        <v/>
      </c>
      <c r="M646" s="17"/>
      <c r="N646" s="6" t="str">
        <f aca="false">IF(OR(F646="",M646=""),"",ROUND(AVERAGE(F646:I646)-M646,1))</f>
        <v/>
      </c>
      <c r="O646" s="17"/>
      <c r="P646" s="17"/>
      <c r="Q646" s="17"/>
    </row>
    <row r="647" customFormat="false" ht="15" hidden="false" customHeight="true" outlineLevel="0" collapsed="false">
      <c r="A647" s="17"/>
      <c r="B647" s="17"/>
      <c r="C647" s="17"/>
      <c r="D647" s="17"/>
      <c r="E647" s="17"/>
      <c r="F647" s="17"/>
      <c r="G647" s="17"/>
      <c r="H647" s="17"/>
      <c r="I647" s="17"/>
      <c r="J647" s="6" t="str">
        <f aca="false">IF(F647="","",IF(AND(F647&gt;=4,G647&gt;=4,H647&gt;=4,I647&gt;=4),"Proficient",IF(AND(F647&lt;=2,G647&lt;=2,H647&lt;=2,I647&lt;=2),"Emerging","Progressing")))</f>
        <v/>
      </c>
      <c r="K647" s="6" t="str">
        <f aca="false">IF(F647="","",IF(J647="Proficient","Yes","No"))</f>
        <v/>
      </c>
      <c r="L647" s="6" t="str">
        <f aca="false">IF(F647="","",INDEX({"Listening","Speaking","Reading","Writing"},MATCH(MIN(F647:I647),F647:I647,0)))</f>
        <v/>
      </c>
      <c r="M647" s="17"/>
      <c r="N647" s="6" t="str">
        <f aca="false">IF(OR(F647="",M647=""),"",ROUND(AVERAGE(F647:I647)-M647,1))</f>
        <v/>
      </c>
      <c r="O647" s="17"/>
      <c r="P647" s="17"/>
      <c r="Q647" s="17"/>
    </row>
    <row r="648" customFormat="false" ht="15" hidden="false" customHeight="true" outlineLevel="0" collapsed="false">
      <c r="A648" s="17"/>
      <c r="B648" s="17"/>
      <c r="C648" s="17"/>
      <c r="D648" s="17"/>
      <c r="E648" s="17"/>
      <c r="F648" s="17"/>
      <c r="G648" s="17"/>
      <c r="H648" s="17"/>
      <c r="I648" s="17"/>
      <c r="J648" s="6" t="str">
        <f aca="false">IF(F648="","",IF(AND(F648&gt;=4,G648&gt;=4,H648&gt;=4,I648&gt;=4),"Proficient",IF(AND(F648&lt;=2,G648&lt;=2,H648&lt;=2,I648&lt;=2),"Emerging","Progressing")))</f>
        <v/>
      </c>
      <c r="K648" s="6" t="str">
        <f aca="false">IF(F648="","",IF(J648="Proficient","Yes","No"))</f>
        <v/>
      </c>
      <c r="L648" s="6" t="str">
        <f aca="false">IF(F648="","",INDEX({"Listening","Speaking","Reading","Writing"},MATCH(MIN(F648:I648),F648:I648,0)))</f>
        <v/>
      </c>
      <c r="M648" s="17"/>
      <c r="N648" s="6" t="str">
        <f aca="false">IF(OR(F648="",M648=""),"",ROUND(AVERAGE(F648:I648)-M648,1))</f>
        <v/>
      </c>
      <c r="O648" s="17"/>
      <c r="P648" s="17"/>
      <c r="Q648" s="17"/>
    </row>
    <row r="649" customFormat="false" ht="15" hidden="false" customHeight="true" outlineLevel="0" collapsed="false">
      <c r="A649" s="17"/>
      <c r="B649" s="17"/>
      <c r="C649" s="17"/>
      <c r="D649" s="17"/>
      <c r="E649" s="17"/>
      <c r="F649" s="17"/>
      <c r="G649" s="17"/>
      <c r="H649" s="17"/>
      <c r="I649" s="17"/>
      <c r="J649" s="6" t="str">
        <f aca="false">IF(F649="","",IF(AND(F649&gt;=4,G649&gt;=4,H649&gt;=4,I649&gt;=4),"Proficient",IF(AND(F649&lt;=2,G649&lt;=2,H649&lt;=2,I649&lt;=2),"Emerging","Progressing")))</f>
        <v/>
      </c>
      <c r="K649" s="6" t="str">
        <f aca="false">IF(F649="","",IF(J649="Proficient","Yes","No"))</f>
        <v/>
      </c>
      <c r="L649" s="6" t="str">
        <f aca="false">IF(F649="","",INDEX({"Listening","Speaking","Reading","Writing"},MATCH(MIN(F649:I649),F649:I649,0)))</f>
        <v/>
      </c>
      <c r="M649" s="17"/>
      <c r="N649" s="6" t="str">
        <f aca="false">IF(OR(F649="",M649=""),"",ROUND(AVERAGE(F649:I649)-M649,1))</f>
        <v/>
      </c>
      <c r="O649" s="17"/>
      <c r="P649" s="17"/>
      <c r="Q649" s="17"/>
    </row>
    <row r="650" customFormat="false" ht="15" hidden="false" customHeight="true" outlineLevel="0" collapsed="false">
      <c r="A650" s="17"/>
      <c r="B650" s="17"/>
      <c r="C650" s="17"/>
      <c r="D650" s="17"/>
      <c r="E650" s="17"/>
      <c r="F650" s="17"/>
      <c r="G650" s="17"/>
      <c r="H650" s="17"/>
      <c r="I650" s="17"/>
      <c r="J650" s="6" t="str">
        <f aca="false">IF(F650="","",IF(AND(F650&gt;=4,G650&gt;=4,H650&gt;=4,I650&gt;=4),"Proficient",IF(AND(F650&lt;=2,G650&lt;=2,H650&lt;=2,I650&lt;=2),"Emerging","Progressing")))</f>
        <v/>
      </c>
      <c r="K650" s="6" t="str">
        <f aca="false">IF(F650="","",IF(J650="Proficient","Yes","No"))</f>
        <v/>
      </c>
      <c r="L650" s="6" t="str">
        <f aca="false">IF(F650="","",INDEX({"Listening","Speaking","Reading","Writing"},MATCH(MIN(F650:I650),F650:I650,0)))</f>
        <v/>
      </c>
      <c r="M650" s="17"/>
      <c r="N650" s="6" t="str">
        <f aca="false">IF(OR(F650="",M650=""),"",ROUND(AVERAGE(F650:I650)-M650,1))</f>
        <v/>
      </c>
      <c r="O650" s="17"/>
      <c r="P650" s="17"/>
      <c r="Q650" s="17"/>
    </row>
    <row r="651" customFormat="false" ht="15" hidden="false" customHeight="true" outlineLevel="0" collapsed="false">
      <c r="A651" s="17"/>
      <c r="B651" s="17"/>
      <c r="C651" s="17"/>
      <c r="D651" s="17"/>
      <c r="E651" s="17"/>
      <c r="F651" s="17"/>
      <c r="G651" s="17"/>
      <c r="H651" s="17"/>
      <c r="I651" s="17"/>
      <c r="J651" s="6" t="str">
        <f aca="false">IF(F651="","",IF(AND(F651&gt;=4,G651&gt;=4,H651&gt;=4,I651&gt;=4),"Proficient",IF(AND(F651&lt;=2,G651&lt;=2,H651&lt;=2,I651&lt;=2),"Emerging","Progressing")))</f>
        <v/>
      </c>
      <c r="K651" s="6" t="str">
        <f aca="false">IF(F651="","",IF(J651="Proficient","Yes","No"))</f>
        <v/>
      </c>
      <c r="L651" s="6" t="str">
        <f aca="false">IF(F651="","",INDEX({"Listening","Speaking","Reading","Writing"},MATCH(MIN(F651:I651),F651:I651,0)))</f>
        <v/>
      </c>
      <c r="M651" s="17"/>
      <c r="N651" s="6" t="str">
        <f aca="false">IF(OR(F651="",M651=""),"",ROUND(AVERAGE(F651:I651)-M651,1))</f>
        <v/>
      </c>
      <c r="O651" s="17"/>
      <c r="P651" s="17"/>
      <c r="Q651" s="17"/>
    </row>
    <row r="652" customFormat="false" ht="15" hidden="false" customHeight="true" outlineLevel="0" collapsed="false">
      <c r="A652" s="17"/>
      <c r="B652" s="17"/>
      <c r="C652" s="17"/>
      <c r="D652" s="17"/>
      <c r="E652" s="17"/>
      <c r="F652" s="17"/>
      <c r="G652" s="17"/>
      <c r="H652" s="17"/>
      <c r="I652" s="17"/>
      <c r="J652" s="6" t="str">
        <f aca="false">IF(F652="","",IF(AND(F652&gt;=4,G652&gt;=4,H652&gt;=4,I652&gt;=4),"Proficient",IF(AND(F652&lt;=2,G652&lt;=2,H652&lt;=2,I652&lt;=2),"Emerging","Progressing")))</f>
        <v/>
      </c>
      <c r="K652" s="6" t="str">
        <f aca="false">IF(F652="","",IF(J652="Proficient","Yes","No"))</f>
        <v/>
      </c>
      <c r="L652" s="6" t="str">
        <f aca="false">IF(F652="","",INDEX({"Listening","Speaking","Reading","Writing"},MATCH(MIN(F652:I652),F652:I652,0)))</f>
        <v/>
      </c>
      <c r="M652" s="17"/>
      <c r="N652" s="6" t="str">
        <f aca="false">IF(OR(F652="",M652=""),"",ROUND(AVERAGE(F652:I652)-M652,1))</f>
        <v/>
      </c>
      <c r="O652" s="17"/>
      <c r="P652" s="17"/>
      <c r="Q652" s="17"/>
    </row>
    <row r="653" customFormat="false" ht="15" hidden="false" customHeight="true" outlineLevel="0" collapsed="false">
      <c r="A653" s="17"/>
      <c r="B653" s="17"/>
      <c r="C653" s="17"/>
      <c r="D653" s="17"/>
      <c r="E653" s="17"/>
      <c r="F653" s="17"/>
      <c r="G653" s="17"/>
      <c r="H653" s="17"/>
      <c r="I653" s="17"/>
      <c r="J653" s="6" t="str">
        <f aca="false">IF(F653="","",IF(AND(F653&gt;=4,G653&gt;=4,H653&gt;=4,I653&gt;=4),"Proficient",IF(AND(F653&lt;=2,G653&lt;=2,H653&lt;=2,I653&lt;=2),"Emerging","Progressing")))</f>
        <v/>
      </c>
      <c r="K653" s="6" t="str">
        <f aca="false">IF(F653="","",IF(J653="Proficient","Yes","No"))</f>
        <v/>
      </c>
      <c r="L653" s="6" t="str">
        <f aca="false">IF(F653="","",INDEX({"Listening","Speaking","Reading","Writing"},MATCH(MIN(F653:I653),F653:I653,0)))</f>
        <v/>
      </c>
      <c r="M653" s="17"/>
      <c r="N653" s="6" t="str">
        <f aca="false">IF(OR(F653="",M653=""),"",ROUND(AVERAGE(F653:I653)-M653,1))</f>
        <v/>
      </c>
      <c r="O653" s="17"/>
      <c r="P653" s="17"/>
      <c r="Q653" s="17"/>
    </row>
    <row r="654" customFormat="false" ht="15" hidden="false" customHeight="true" outlineLevel="0" collapsed="false">
      <c r="A654" s="17"/>
      <c r="B654" s="17"/>
      <c r="C654" s="17"/>
      <c r="D654" s="17"/>
      <c r="E654" s="17"/>
      <c r="F654" s="17"/>
      <c r="G654" s="17"/>
      <c r="H654" s="17"/>
      <c r="I654" s="17"/>
      <c r="J654" s="6" t="str">
        <f aca="false">IF(F654="","",IF(AND(F654&gt;=4,G654&gt;=4,H654&gt;=4,I654&gt;=4),"Proficient",IF(AND(F654&lt;=2,G654&lt;=2,H654&lt;=2,I654&lt;=2),"Emerging","Progressing")))</f>
        <v/>
      </c>
      <c r="K654" s="6" t="str">
        <f aca="false">IF(F654="","",IF(J654="Proficient","Yes","No"))</f>
        <v/>
      </c>
      <c r="L654" s="6" t="str">
        <f aca="false">IF(F654="","",INDEX({"Listening","Speaking","Reading","Writing"},MATCH(MIN(F654:I654),F654:I654,0)))</f>
        <v/>
      </c>
      <c r="M654" s="17"/>
      <c r="N654" s="6" t="str">
        <f aca="false">IF(OR(F654="",M654=""),"",ROUND(AVERAGE(F654:I654)-M654,1))</f>
        <v/>
      </c>
      <c r="O654" s="17"/>
      <c r="P654" s="17"/>
      <c r="Q654" s="17"/>
    </row>
    <row r="655" customFormat="false" ht="15" hidden="false" customHeight="true" outlineLevel="0" collapsed="false">
      <c r="A655" s="17"/>
      <c r="B655" s="17"/>
      <c r="C655" s="17"/>
      <c r="D655" s="17"/>
      <c r="E655" s="17"/>
      <c r="F655" s="17"/>
      <c r="G655" s="17"/>
      <c r="H655" s="17"/>
      <c r="I655" s="17"/>
      <c r="J655" s="6" t="str">
        <f aca="false">IF(F655="","",IF(AND(F655&gt;=4,G655&gt;=4,H655&gt;=4,I655&gt;=4),"Proficient",IF(AND(F655&lt;=2,G655&lt;=2,H655&lt;=2,I655&lt;=2),"Emerging","Progressing")))</f>
        <v/>
      </c>
      <c r="K655" s="6" t="str">
        <f aca="false">IF(F655="","",IF(J655="Proficient","Yes","No"))</f>
        <v/>
      </c>
      <c r="L655" s="6" t="str">
        <f aca="false">IF(F655="","",INDEX({"Listening","Speaking","Reading","Writing"},MATCH(MIN(F655:I655),F655:I655,0)))</f>
        <v/>
      </c>
      <c r="M655" s="17"/>
      <c r="N655" s="6" t="str">
        <f aca="false">IF(OR(F655="",M655=""),"",ROUND(AVERAGE(F655:I655)-M655,1))</f>
        <v/>
      </c>
      <c r="O655" s="17"/>
      <c r="P655" s="17"/>
      <c r="Q655" s="17"/>
    </row>
    <row r="656" customFormat="false" ht="15" hidden="false" customHeight="true" outlineLevel="0" collapsed="false">
      <c r="A656" s="17"/>
      <c r="B656" s="17"/>
      <c r="C656" s="17"/>
      <c r="D656" s="17"/>
      <c r="E656" s="17"/>
      <c r="F656" s="17"/>
      <c r="G656" s="17"/>
      <c r="H656" s="17"/>
      <c r="I656" s="17"/>
      <c r="J656" s="6" t="str">
        <f aca="false">IF(F656="","",IF(AND(F656&gt;=4,G656&gt;=4,H656&gt;=4,I656&gt;=4),"Proficient",IF(AND(F656&lt;=2,G656&lt;=2,H656&lt;=2,I656&lt;=2),"Emerging","Progressing")))</f>
        <v/>
      </c>
      <c r="K656" s="6" t="str">
        <f aca="false">IF(F656="","",IF(J656="Proficient","Yes","No"))</f>
        <v/>
      </c>
      <c r="L656" s="6" t="str">
        <f aca="false">IF(F656="","",INDEX({"Listening","Speaking","Reading","Writing"},MATCH(MIN(F656:I656),F656:I656,0)))</f>
        <v/>
      </c>
      <c r="M656" s="17"/>
      <c r="N656" s="6" t="str">
        <f aca="false">IF(OR(F656="",M656=""),"",ROUND(AVERAGE(F656:I656)-M656,1))</f>
        <v/>
      </c>
      <c r="O656" s="17"/>
      <c r="P656" s="17"/>
      <c r="Q656" s="17"/>
    </row>
    <row r="657" customFormat="false" ht="15" hidden="false" customHeight="true" outlineLevel="0" collapsed="false">
      <c r="A657" s="17"/>
      <c r="B657" s="17"/>
      <c r="C657" s="17"/>
      <c r="D657" s="17"/>
      <c r="E657" s="17"/>
      <c r="F657" s="17"/>
      <c r="G657" s="17"/>
      <c r="H657" s="17"/>
      <c r="I657" s="17"/>
      <c r="J657" s="6" t="str">
        <f aca="false">IF(F657="","",IF(AND(F657&gt;=4,G657&gt;=4,H657&gt;=4,I657&gt;=4),"Proficient",IF(AND(F657&lt;=2,G657&lt;=2,H657&lt;=2,I657&lt;=2),"Emerging","Progressing")))</f>
        <v/>
      </c>
      <c r="K657" s="6" t="str">
        <f aca="false">IF(F657="","",IF(J657="Proficient","Yes","No"))</f>
        <v/>
      </c>
      <c r="L657" s="6" t="str">
        <f aca="false">IF(F657="","",INDEX({"Listening","Speaking","Reading","Writing"},MATCH(MIN(F657:I657),F657:I657,0)))</f>
        <v/>
      </c>
      <c r="M657" s="17"/>
      <c r="N657" s="6" t="str">
        <f aca="false">IF(OR(F657="",M657=""),"",ROUND(AVERAGE(F657:I657)-M657,1))</f>
        <v/>
      </c>
      <c r="O657" s="17"/>
      <c r="P657" s="17"/>
      <c r="Q657" s="17"/>
    </row>
    <row r="658" customFormat="false" ht="15" hidden="false" customHeight="true" outlineLevel="0" collapsed="false">
      <c r="A658" s="17"/>
      <c r="B658" s="17"/>
      <c r="C658" s="17"/>
      <c r="D658" s="17"/>
      <c r="E658" s="17"/>
      <c r="F658" s="17"/>
      <c r="G658" s="17"/>
      <c r="H658" s="17"/>
      <c r="I658" s="17"/>
      <c r="J658" s="6" t="str">
        <f aca="false">IF(F658="","",IF(AND(F658&gt;=4,G658&gt;=4,H658&gt;=4,I658&gt;=4),"Proficient",IF(AND(F658&lt;=2,G658&lt;=2,H658&lt;=2,I658&lt;=2),"Emerging","Progressing")))</f>
        <v/>
      </c>
      <c r="K658" s="6" t="str">
        <f aca="false">IF(F658="","",IF(J658="Proficient","Yes","No"))</f>
        <v/>
      </c>
      <c r="L658" s="6" t="str">
        <f aca="false">IF(F658="","",INDEX({"Listening","Speaking","Reading","Writing"},MATCH(MIN(F658:I658),F658:I658,0)))</f>
        <v/>
      </c>
      <c r="M658" s="17"/>
      <c r="N658" s="6" t="str">
        <f aca="false">IF(OR(F658="",M658=""),"",ROUND(AVERAGE(F658:I658)-M658,1))</f>
        <v/>
      </c>
      <c r="O658" s="17"/>
      <c r="P658" s="17"/>
      <c r="Q658" s="17"/>
    </row>
    <row r="659" customFormat="false" ht="15" hidden="false" customHeight="true" outlineLevel="0" collapsed="false">
      <c r="A659" s="17"/>
      <c r="B659" s="17"/>
      <c r="C659" s="17"/>
      <c r="D659" s="17"/>
      <c r="E659" s="17"/>
      <c r="F659" s="17"/>
      <c r="G659" s="17"/>
      <c r="H659" s="17"/>
      <c r="I659" s="17"/>
      <c r="J659" s="6" t="str">
        <f aca="false">IF(F659="","",IF(AND(F659&gt;=4,G659&gt;=4,H659&gt;=4,I659&gt;=4),"Proficient",IF(AND(F659&lt;=2,G659&lt;=2,H659&lt;=2,I659&lt;=2),"Emerging","Progressing")))</f>
        <v/>
      </c>
      <c r="K659" s="6" t="str">
        <f aca="false">IF(F659="","",IF(J659="Proficient","Yes","No"))</f>
        <v/>
      </c>
      <c r="L659" s="6" t="str">
        <f aca="false">IF(F659="","",INDEX({"Listening","Speaking","Reading","Writing"},MATCH(MIN(F659:I659),F659:I659,0)))</f>
        <v/>
      </c>
      <c r="M659" s="17"/>
      <c r="N659" s="6" t="str">
        <f aca="false">IF(OR(F659="",M659=""),"",ROUND(AVERAGE(F659:I659)-M659,1))</f>
        <v/>
      </c>
      <c r="O659" s="17"/>
      <c r="P659" s="17"/>
      <c r="Q659" s="17"/>
    </row>
    <row r="660" customFormat="false" ht="15" hidden="false" customHeight="true" outlineLevel="0" collapsed="false">
      <c r="A660" s="17"/>
      <c r="B660" s="17"/>
      <c r="C660" s="17"/>
      <c r="D660" s="17"/>
      <c r="E660" s="17"/>
      <c r="F660" s="17"/>
      <c r="G660" s="17"/>
      <c r="H660" s="17"/>
      <c r="I660" s="17"/>
      <c r="J660" s="6" t="str">
        <f aca="false">IF(F660="","",IF(AND(F660&gt;=4,G660&gt;=4,H660&gt;=4,I660&gt;=4),"Proficient",IF(AND(F660&lt;=2,G660&lt;=2,H660&lt;=2,I660&lt;=2),"Emerging","Progressing")))</f>
        <v/>
      </c>
      <c r="K660" s="6" t="str">
        <f aca="false">IF(F660="","",IF(J660="Proficient","Yes","No"))</f>
        <v/>
      </c>
      <c r="L660" s="6" t="str">
        <f aca="false">IF(F660="","",INDEX({"Listening","Speaking","Reading","Writing"},MATCH(MIN(F660:I660),F660:I660,0)))</f>
        <v/>
      </c>
      <c r="M660" s="17"/>
      <c r="N660" s="6" t="str">
        <f aca="false">IF(OR(F660="",M660=""),"",ROUND(AVERAGE(F660:I660)-M660,1))</f>
        <v/>
      </c>
      <c r="O660" s="17"/>
      <c r="P660" s="17"/>
      <c r="Q660" s="17"/>
    </row>
    <row r="661" customFormat="false" ht="15" hidden="false" customHeight="true" outlineLevel="0" collapsed="false">
      <c r="A661" s="17"/>
      <c r="B661" s="17"/>
      <c r="C661" s="17"/>
      <c r="D661" s="17"/>
      <c r="E661" s="17"/>
      <c r="F661" s="17"/>
      <c r="G661" s="17"/>
      <c r="H661" s="17"/>
      <c r="I661" s="17"/>
      <c r="J661" s="6" t="str">
        <f aca="false">IF(F661="","",IF(AND(F661&gt;=4,G661&gt;=4,H661&gt;=4,I661&gt;=4),"Proficient",IF(AND(F661&lt;=2,G661&lt;=2,H661&lt;=2,I661&lt;=2),"Emerging","Progressing")))</f>
        <v/>
      </c>
      <c r="K661" s="6" t="str">
        <f aca="false">IF(F661="","",IF(J661="Proficient","Yes","No"))</f>
        <v/>
      </c>
      <c r="L661" s="6" t="str">
        <f aca="false">IF(F661="","",INDEX({"Listening","Speaking","Reading","Writing"},MATCH(MIN(F661:I661),F661:I661,0)))</f>
        <v/>
      </c>
      <c r="M661" s="17"/>
      <c r="N661" s="6" t="str">
        <f aca="false">IF(OR(F661="",M661=""),"",ROUND(AVERAGE(F661:I661)-M661,1))</f>
        <v/>
      </c>
      <c r="O661" s="17"/>
      <c r="P661" s="17"/>
      <c r="Q661" s="17"/>
    </row>
    <row r="662" customFormat="false" ht="15" hidden="false" customHeight="true" outlineLevel="0" collapsed="false">
      <c r="A662" s="17"/>
      <c r="B662" s="17"/>
      <c r="C662" s="17"/>
      <c r="D662" s="17"/>
      <c r="E662" s="17"/>
      <c r="F662" s="17"/>
      <c r="G662" s="17"/>
      <c r="H662" s="17"/>
      <c r="I662" s="17"/>
      <c r="J662" s="6" t="str">
        <f aca="false">IF(F662="","",IF(AND(F662&gt;=4,G662&gt;=4,H662&gt;=4,I662&gt;=4),"Proficient",IF(AND(F662&lt;=2,G662&lt;=2,H662&lt;=2,I662&lt;=2),"Emerging","Progressing")))</f>
        <v/>
      </c>
      <c r="K662" s="6" t="str">
        <f aca="false">IF(F662="","",IF(J662="Proficient","Yes","No"))</f>
        <v/>
      </c>
      <c r="L662" s="6" t="str">
        <f aca="false">IF(F662="","",INDEX({"Listening","Speaking","Reading","Writing"},MATCH(MIN(F662:I662),F662:I662,0)))</f>
        <v/>
      </c>
      <c r="M662" s="17"/>
      <c r="N662" s="6" t="str">
        <f aca="false">IF(OR(F662="",M662=""),"",ROUND(AVERAGE(F662:I662)-M662,1))</f>
        <v/>
      </c>
      <c r="O662" s="17"/>
      <c r="P662" s="17"/>
      <c r="Q662" s="17"/>
    </row>
    <row r="663" customFormat="false" ht="15" hidden="false" customHeight="true" outlineLevel="0" collapsed="false">
      <c r="A663" s="17"/>
      <c r="B663" s="17"/>
      <c r="C663" s="17"/>
      <c r="D663" s="17"/>
      <c r="E663" s="17"/>
      <c r="F663" s="17"/>
      <c r="G663" s="17"/>
      <c r="H663" s="17"/>
      <c r="I663" s="17"/>
      <c r="J663" s="6" t="str">
        <f aca="false">IF(F663="","",IF(AND(F663&gt;=4,G663&gt;=4,H663&gt;=4,I663&gt;=4),"Proficient",IF(AND(F663&lt;=2,G663&lt;=2,H663&lt;=2,I663&lt;=2),"Emerging","Progressing")))</f>
        <v/>
      </c>
      <c r="K663" s="6" t="str">
        <f aca="false">IF(F663="","",IF(J663="Proficient","Yes","No"))</f>
        <v/>
      </c>
      <c r="L663" s="6" t="str">
        <f aca="false">IF(F663="","",INDEX({"Listening","Speaking","Reading","Writing"},MATCH(MIN(F663:I663),F663:I663,0)))</f>
        <v/>
      </c>
      <c r="M663" s="17"/>
      <c r="N663" s="6" t="str">
        <f aca="false">IF(OR(F663="",M663=""),"",ROUND(AVERAGE(F663:I663)-M663,1))</f>
        <v/>
      </c>
      <c r="O663" s="17"/>
      <c r="P663" s="17"/>
      <c r="Q663" s="17"/>
    </row>
    <row r="664" customFormat="false" ht="15" hidden="false" customHeight="true" outlineLevel="0" collapsed="false">
      <c r="A664" s="17"/>
      <c r="B664" s="17"/>
      <c r="C664" s="17"/>
      <c r="D664" s="17"/>
      <c r="E664" s="17"/>
      <c r="F664" s="17"/>
      <c r="G664" s="17"/>
      <c r="H664" s="17"/>
      <c r="I664" s="17"/>
      <c r="J664" s="6" t="str">
        <f aca="false">IF(F664="","",IF(AND(F664&gt;=4,G664&gt;=4,H664&gt;=4,I664&gt;=4),"Proficient",IF(AND(F664&lt;=2,G664&lt;=2,H664&lt;=2,I664&lt;=2),"Emerging","Progressing")))</f>
        <v/>
      </c>
      <c r="K664" s="6" t="str">
        <f aca="false">IF(F664="","",IF(J664="Proficient","Yes","No"))</f>
        <v/>
      </c>
      <c r="L664" s="6" t="str">
        <f aca="false">IF(F664="","",INDEX({"Listening","Speaking","Reading","Writing"},MATCH(MIN(F664:I664),F664:I664,0)))</f>
        <v/>
      </c>
      <c r="M664" s="17"/>
      <c r="N664" s="6" t="str">
        <f aca="false">IF(OR(F664="",M664=""),"",ROUND(AVERAGE(F664:I664)-M664,1))</f>
        <v/>
      </c>
      <c r="O664" s="17"/>
      <c r="P664" s="17"/>
      <c r="Q664" s="17"/>
    </row>
    <row r="665" customFormat="false" ht="15" hidden="false" customHeight="true" outlineLevel="0" collapsed="false">
      <c r="A665" s="17"/>
      <c r="B665" s="17"/>
      <c r="C665" s="17"/>
      <c r="D665" s="17"/>
      <c r="E665" s="17"/>
      <c r="F665" s="17"/>
      <c r="G665" s="17"/>
      <c r="H665" s="17"/>
      <c r="I665" s="17"/>
      <c r="J665" s="6" t="str">
        <f aca="false">IF(F665="","",IF(AND(F665&gt;=4,G665&gt;=4,H665&gt;=4,I665&gt;=4),"Proficient",IF(AND(F665&lt;=2,G665&lt;=2,H665&lt;=2,I665&lt;=2),"Emerging","Progressing")))</f>
        <v/>
      </c>
      <c r="K665" s="6" t="str">
        <f aca="false">IF(F665="","",IF(J665="Proficient","Yes","No"))</f>
        <v/>
      </c>
      <c r="L665" s="6" t="str">
        <f aca="false">IF(F665="","",INDEX({"Listening","Speaking","Reading","Writing"},MATCH(MIN(F665:I665),F665:I665,0)))</f>
        <v/>
      </c>
      <c r="M665" s="17"/>
      <c r="N665" s="6" t="str">
        <f aca="false">IF(OR(F665="",M665=""),"",ROUND(AVERAGE(F665:I665)-M665,1))</f>
        <v/>
      </c>
      <c r="O665" s="17"/>
      <c r="P665" s="17"/>
      <c r="Q665" s="17"/>
    </row>
    <row r="666" customFormat="false" ht="15" hidden="false" customHeight="true" outlineLevel="0" collapsed="false">
      <c r="A666" s="17"/>
      <c r="B666" s="17"/>
      <c r="C666" s="17"/>
      <c r="D666" s="17"/>
      <c r="E666" s="17"/>
      <c r="F666" s="17"/>
      <c r="G666" s="17"/>
      <c r="H666" s="17"/>
      <c r="I666" s="17"/>
      <c r="J666" s="6" t="str">
        <f aca="false">IF(F666="","",IF(AND(F666&gt;=4,G666&gt;=4,H666&gt;=4,I666&gt;=4),"Proficient",IF(AND(F666&lt;=2,G666&lt;=2,H666&lt;=2,I666&lt;=2),"Emerging","Progressing")))</f>
        <v/>
      </c>
      <c r="K666" s="6" t="str">
        <f aca="false">IF(F666="","",IF(J666="Proficient","Yes","No"))</f>
        <v/>
      </c>
      <c r="L666" s="6" t="str">
        <f aca="false">IF(F666="","",INDEX({"Listening","Speaking","Reading","Writing"},MATCH(MIN(F666:I666),F666:I666,0)))</f>
        <v/>
      </c>
      <c r="M666" s="17"/>
      <c r="N666" s="6" t="str">
        <f aca="false">IF(OR(F666="",M666=""),"",ROUND(AVERAGE(F666:I666)-M666,1))</f>
        <v/>
      </c>
      <c r="O666" s="17"/>
      <c r="P666" s="17"/>
      <c r="Q666" s="17"/>
    </row>
    <row r="667" customFormat="false" ht="15" hidden="false" customHeight="true" outlineLevel="0" collapsed="false">
      <c r="A667" s="17"/>
      <c r="B667" s="17"/>
      <c r="C667" s="17"/>
      <c r="D667" s="17"/>
      <c r="E667" s="17"/>
      <c r="F667" s="17"/>
      <c r="G667" s="17"/>
      <c r="H667" s="17"/>
      <c r="I667" s="17"/>
      <c r="J667" s="6" t="str">
        <f aca="false">IF(F667="","",IF(AND(F667&gt;=4,G667&gt;=4,H667&gt;=4,I667&gt;=4),"Proficient",IF(AND(F667&lt;=2,G667&lt;=2,H667&lt;=2,I667&lt;=2),"Emerging","Progressing")))</f>
        <v/>
      </c>
      <c r="K667" s="6" t="str">
        <f aca="false">IF(F667="","",IF(J667="Proficient","Yes","No"))</f>
        <v/>
      </c>
      <c r="L667" s="6" t="str">
        <f aca="false">IF(F667="","",INDEX({"Listening","Speaking","Reading","Writing"},MATCH(MIN(F667:I667),F667:I667,0)))</f>
        <v/>
      </c>
      <c r="M667" s="17"/>
      <c r="N667" s="6" t="str">
        <f aca="false">IF(OR(F667="",M667=""),"",ROUND(AVERAGE(F667:I667)-M667,1))</f>
        <v/>
      </c>
      <c r="O667" s="17"/>
      <c r="P667" s="17"/>
      <c r="Q667" s="17"/>
    </row>
    <row r="668" customFormat="false" ht="15" hidden="false" customHeight="true" outlineLevel="0" collapsed="false">
      <c r="A668" s="17"/>
      <c r="B668" s="17"/>
      <c r="C668" s="17"/>
      <c r="D668" s="17"/>
      <c r="E668" s="17"/>
      <c r="F668" s="17"/>
      <c r="G668" s="17"/>
      <c r="H668" s="17"/>
      <c r="I668" s="17"/>
      <c r="J668" s="6" t="str">
        <f aca="false">IF(F668="","",IF(AND(F668&gt;=4,G668&gt;=4,H668&gt;=4,I668&gt;=4),"Proficient",IF(AND(F668&lt;=2,G668&lt;=2,H668&lt;=2,I668&lt;=2),"Emerging","Progressing")))</f>
        <v/>
      </c>
      <c r="K668" s="6" t="str">
        <f aca="false">IF(F668="","",IF(J668="Proficient","Yes","No"))</f>
        <v/>
      </c>
      <c r="L668" s="6" t="str">
        <f aca="false">IF(F668="","",INDEX({"Listening","Speaking","Reading","Writing"},MATCH(MIN(F668:I668),F668:I668,0)))</f>
        <v/>
      </c>
      <c r="M668" s="17"/>
      <c r="N668" s="6" t="str">
        <f aca="false">IF(OR(F668="",M668=""),"",ROUND(AVERAGE(F668:I668)-M668,1))</f>
        <v/>
      </c>
      <c r="O668" s="17"/>
      <c r="P668" s="17"/>
      <c r="Q668" s="17"/>
    </row>
    <row r="669" customFormat="false" ht="15" hidden="false" customHeight="true" outlineLevel="0" collapsed="false">
      <c r="A669" s="17"/>
      <c r="B669" s="17"/>
      <c r="C669" s="17"/>
      <c r="D669" s="17"/>
      <c r="E669" s="17"/>
      <c r="F669" s="17"/>
      <c r="G669" s="17"/>
      <c r="H669" s="17"/>
      <c r="I669" s="17"/>
      <c r="J669" s="6" t="str">
        <f aca="false">IF(F669="","",IF(AND(F669&gt;=4,G669&gt;=4,H669&gt;=4,I669&gt;=4),"Proficient",IF(AND(F669&lt;=2,G669&lt;=2,H669&lt;=2,I669&lt;=2),"Emerging","Progressing")))</f>
        <v/>
      </c>
      <c r="K669" s="6" t="str">
        <f aca="false">IF(F669="","",IF(J669="Proficient","Yes","No"))</f>
        <v/>
      </c>
      <c r="L669" s="6" t="str">
        <f aca="false">IF(F669="","",INDEX({"Listening","Speaking","Reading","Writing"},MATCH(MIN(F669:I669),F669:I669,0)))</f>
        <v/>
      </c>
      <c r="M669" s="17"/>
      <c r="N669" s="6" t="str">
        <f aca="false">IF(OR(F669="",M669=""),"",ROUND(AVERAGE(F669:I669)-M669,1))</f>
        <v/>
      </c>
      <c r="O669" s="17"/>
      <c r="P669" s="17"/>
      <c r="Q669" s="17"/>
    </row>
    <row r="670" customFormat="false" ht="15" hidden="false" customHeight="true" outlineLevel="0" collapsed="false">
      <c r="A670" s="17"/>
      <c r="B670" s="17"/>
      <c r="C670" s="17"/>
      <c r="D670" s="17"/>
      <c r="E670" s="17"/>
      <c r="F670" s="17"/>
      <c r="G670" s="17"/>
      <c r="H670" s="17"/>
      <c r="I670" s="17"/>
      <c r="J670" s="6" t="str">
        <f aca="false">IF(F670="","",IF(AND(F670&gt;=4,G670&gt;=4,H670&gt;=4,I670&gt;=4),"Proficient",IF(AND(F670&lt;=2,G670&lt;=2,H670&lt;=2,I670&lt;=2),"Emerging","Progressing")))</f>
        <v/>
      </c>
      <c r="K670" s="6" t="str">
        <f aca="false">IF(F670="","",IF(J670="Proficient","Yes","No"))</f>
        <v/>
      </c>
      <c r="L670" s="6" t="str">
        <f aca="false">IF(F670="","",INDEX({"Listening","Speaking","Reading","Writing"},MATCH(MIN(F670:I670),F670:I670,0)))</f>
        <v/>
      </c>
      <c r="M670" s="17"/>
      <c r="N670" s="6" t="str">
        <f aca="false">IF(OR(F670="",M670=""),"",ROUND(AVERAGE(F670:I670)-M670,1))</f>
        <v/>
      </c>
      <c r="O670" s="17"/>
      <c r="P670" s="17"/>
      <c r="Q670" s="17"/>
    </row>
    <row r="671" customFormat="false" ht="15" hidden="false" customHeight="true" outlineLevel="0" collapsed="false">
      <c r="A671" s="17"/>
      <c r="B671" s="17"/>
      <c r="C671" s="17"/>
      <c r="D671" s="17"/>
      <c r="E671" s="17"/>
      <c r="F671" s="17"/>
      <c r="G671" s="17"/>
      <c r="H671" s="17"/>
      <c r="I671" s="17"/>
      <c r="J671" s="6" t="str">
        <f aca="false">IF(F671="","",IF(AND(F671&gt;=4,G671&gt;=4,H671&gt;=4,I671&gt;=4),"Proficient",IF(AND(F671&lt;=2,G671&lt;=2,H671&lt;=2,I671&lt;=2),"Emerging","Progressing")))</f>
        <v/>
      </c>
      <c r="K671" s="6" t="str">
        <f aca="false">IF(F671="","",IF(J671="Proficient","Yes","No"))</f>
        <v/>
      </c>
      <c r="L671" s="6" t="str">
        <f aca="false">IF(F671="","",INDEX({"Listening","Speaking","Reading","Writing"},MATCH(MIN(F671:I671),F671:I671,0)))</f>
        <v/>
      </c>
      <c r="M671" s="17"/>
      <c r="N671" s="6" t="str">
        <f aca="false">IF(OR(F671="",M671=""),"",ROUND(AVERAGE(F671:I671)-M671,1))</f>
        <v/>
      </c>
      <c r="O671" s="17"/>
      <c r="P671" s="17"/>
      <c r="Q671" s="17"/>
    </row>
    <row r="672" customFormat="false" ht="15" hidden="false" customHeight="true" outlineLevel="0" collapsed="false">
      <c r="A672" s="17"/>
      <c r="B672" s="17"/>
      <c r="C672" s="17"/>
      <c r="D672" s="17"/>
      <c r="E672" s="17"/>
      <c r="F672" s="17"/>
      <c r="G672" s="17"/>
      <c r="H672" s="17"/>
      <c r="I672" s="17"/>
      <c r="J672" s="6" t="str">
        <f aca="false">IF(F672="","",IF(AND(F672&gt;=4,G672&gt;=4,H672&gt;=4,I672&gt;=4),"Proficient",IF(AND(F672&lt;=2,G672&lt;=2,H672&lt;=2,I672&lt;=2),"Emerging","Progressing")))</f>
        <v/>
      </c>
      <c r="K672" s="6" t="str">
        <f aca="false">IF(F672="","",IF(J672="Proficient","Yes","No"))</f>
        <v/>
      </c>
      <c r="L672" s="6" t="str">
        <f aca="false">IF(F672="","",INDEX({"Listening","Speaking","Reading","Writing"},MATCH(MIN(F672:I672),F672:I672,0)))</f>
        <v/>
      </c>
      <c r="M672" s="17"/>
      <c r="N672" s="6" t="str">
        <f aca="false">IF(OR(F672="",M672=""),"",ROUND(AVERAGE(F672:I672)-M672,1))</f>
        <v/>
      </c>
      <c r="O672" s="17"/>
      <c r="P672" s="17"/>
      <c r="Q672" s="17"/>
    </row>
    <row r="673" customFormat="false" ht="15" hidden="false" customHeight="true" outlineLevel="0" collapsed="false">
      <c r="A673" s="17"/>
      <c r="B673" s="17"/>
      <c r="C673" s="17"/>
      <c r="D673" s="17"/>
      <c r="E673" s="17"/>
      <c r="F673" s="17"/>
      <c r="G673" s="17"/>
      <c r="H673" s="17"/>
      <c r="I673" s="17"/>
      <c r="J673" s="6" t="str">
        <f aca="false">IF(F673="","",IF(AND(F673&gt;=4,G673&gt;=4,H673&gt;=4,I673&gt;=4),"Proficient",IF(AND(F673&lt;=2,G673&lt;=2,H673&lt;=2,I673&lt;=2),"Emerging","Progressing")))</f>
        <v/>
      </c>
      <c r="K673" s="6" t="str">
        <f aca="false">IF(F673="","",IF(J673="Proficient","Yes","No"))</f>
        <v/>
      </c>
      <c r="L673" s="6" t="str">
        <f aca="false">IF(F673="","",INDEX({"Listening","Speaking","Reading","Writing"},MATCH(MIN(F673:I673),F673:I673,0)))</f>
        <v/>
      </c>
      <c r="M673" s="17"/>
      <c r="N673" s="6" t="str">
        <f aca="false">IF(OR(F673="",M673=""),"",ROUND(AVERAGE(F673:I673)-M673,1))</f>
        <v/>
      </c>
      <c r="O673" s="17"/>
      <c r="P673" s="17"/>
      <c r="Q673" s="17"/>
    </row>
    <row r="674" customFormat="false" ht="15" hidden="false" customHeight="true" outlineLevel="0" collapsed="false">
      <c r="A674" s="17"/>
      <c r="B674" s="17"/>
      <c r="C674" s="17"/>
      <c r="D674" s="17"/>
      <c r="E674" s="17"/>
      <c r="F674" s="17"/>
      <c r="G674" s="17"/>
      <c r="H674" s="17"/>
      <c r="I674" s="17"/>
      <c r="J674" s="6" t="str">
        <f aca="false">IF(F674="","",IF(AND(F674&gt;=4,G674&gt;=4,H674&gt;=4,I674&gt;=4),"Proficient",IF(AND(F674&lt;=2,G674&lt;=2,H674&lt;=2,I674&lt;=2),"Emerging","Progressing")))</f>
        <v/>
      </c>
      <c r="K674" s="6" t="str">
        <f aca="false">IF(F674="","",IF(J674="Proficient","Yes","No"))</f>
        <v/>
      </c>
      <c r="L674" s="6" t="str">
        <f aca="false">IF(F674="","",INDEX({"Listening","Speaking","Reading","Writing"},MATCH(MIN(F674:I674),F674:I674,0)))</f>
        <v/>
      </c>
      <c r="M674" s="17"/>
      <c r="N674" s="6" t="str">
        <f aca="false">IF(OR(F674="",M674=""),"",ROUND(AVERAGE(F674:I674)-M674,1))</f>
        <v/>
      </c>
      <c r="O674" s="17"/>
      <c r="P674" s="17"/>
      <c r="Q674" s="17"/>
    </row>
    <row r="675" customFormat="false" ht="15" hidden="false" customHeight="true" outlineLevel="0" collapsed="false">
      <c r="A675" s="17"/>
      <c r="B675" s="17"/>
      <c r="C675" s="17"/>
      <c r="D675" s="17"/>
      <c r="E675" s="17"/>
      <c r="F675" s="17"/>
      <c r="G675" s="17"/>
      <c r="H675" s="17"/>
      <c r="I675" s="17"/>
      <c r="J675" s="6" t="str">
        <f aca="false">IF(F675="","",IF(AND(F675&gt;=4,G675&gt;=4,H675&gt;=4,I675&gt;=4),"Proficient",IF(AND(F675&lt;=2,G675&lt;=2,H675&lt;=2,I675&lt;=2),"Emerging","Progressing")))</f>
        <v/>
      </c>
      <c r="K675" s="6" t="str">
        <f aca="false">IF(F675="","",IF(J675="Proficient","Yes","No"))</f>
        <v/>
      </c>
      <c r="L675" s="6" t="str">
        <f aca="false">IF(F675="","",INDEX({"Listening","Speaking","Reading","Writing"},MATCH(MIN(F675:I675),F675:I675,0)))</f>
        <v/>
      </c>
      <c r="M675" s="17"/>
      <c r="N675" s="6" t="str">
        <f aca="false">IF(OR(F675="",M675=""),"",ROUND(AVERAGE(F675:I675)-M675,1))</f>
        <v/>
      </c>
      <c r="O675" s="17"/>
      <c r="P675" s="17"/>
      <c r="Q675" s="17"/>
    </row>
    <row r="676" customFormat="false" ht="15" hidden="false" customHeight="true" outlineLevel="0" collapsed="false">
      <c r="A676" s="17"/>
      <c r="B676" s="17"/>
      <c r="C676" s="17"/>
      <c r="D676" s="17"/>
      <c r="E676" s="17"/>
      <c r="F676" s="17"/>
      <c r="G676" s="17"/>
      <c r="H676" s="17"/>
      <c r="I676" s="17"/>
      <c r="J676" s="6" t="str">
        <f aca="false">IF(F676="","",IF(AND(F676&gt;=4,G676&gt;=4,H676&gt;=4,I676&gt;=4),"Proficient",IF(AND(F676&lt;=2,G676&lt;=2,H676&lt;=2,I676&lt;=2),"Emerging","Progressing")))</f>
        <v/>
      </c>
      <c r="K676" s="6" t="str">
        <f aca="false">IF(F676="","",IF(J676="Proficient","Yes","No"))</f>
        <v/>
      </c>
      <c r="L676" s="6" t="str">
        <f aca="false">IF(F676="","",INDEX({"Listening","Speaking","Reading","Writing"},MATCH(MIN(F676:I676),F676:I676,0)))</f>
        <v/>
      </c>
      <c r="M676" s="17"/>
      <c r="N676" s="6" t="str">
        <f aca="false">IF(OR(F676="",M676=""),"",ROUND(AVERAGE(F676:I676)-M676,1))</f>
        <v/>
      </c>
      <c r="O676" s="17"/>
      <c r="P676" s="17"/>
      <c r="Q676" s="17"/>
    </row>
    <row r="677" customFormat="false" ht="15" hidden="false" customHeight="true" outlineLevel="0" collapsed="false">
      <c r="A677" s="17"/>
      <c r="B677" s="17"/>
      <c r="C677" s="17"/>
      <c r="D677" s="17"/>
      <c r="E677" s="17"/>
      <c r="F677" s="17"/>
      <c r="G677" s="17"/>
      <c r="H677" s="17"/>
      <c r="I677" s="17"/>
      <c r="J677" s="6" t="str">
        <f aca="false">IF(F677="","",IF(AND(F677&gt;=4,G677&gt;=4,H677&gt;=4,I677&gt;=4),"Proficient",IF(AND(F677&lt;=2,G677&lt;=2,H677&lt;=2,I677&lt;=2),"Emerging","Progressing")))</f>
        <v/>
      </c>
      <c r="K677" s="6" t="str">
        <f aca="false">IF(F677="","",IF(J677="Proficient","Yes","No"))</f>
        <v/>
      </c>
      <c r="L677" s="6" t="str">
        <f aca="false">IF(F677="","",INDEX({"Listening","Speaking","Reading","Writing"},MATCH(MIN(F677:I677),F677:I677,0)))</f>
        <v/>
      </c>
      <c r="M677" s="17"/>
      <c r="N677" s="6" t="str">
        <f aca="false">IF(OR(F677="",M677=""),"",ROUND(AVERAGE(F677:I677)-M677,1))</f>
        <v/>
      </c>
      <c r="O677" s="17"/>
      <c r="P677" s="17"/>
      <c r="Q677" s="17"/>
    </row>
    <row r="678" customFormat="false" ht="15" hidden="false" customHeight="true" outlineLevel="0" collapsed="false">
      <c r="A678" s="17"/>
      <c r="B678" s="17"/>
      <c r="C678" s="17"/>
      <c r="D678" s="17"/>
      <c r="E678" s="17"/>
      <c r="F678" s="17"/>
      <c r="G678" s="17"/>
      <c r="H678" s="17"/>
      <c r="I678" s="17"/>
      <c r="J678" s="6" t="str">
        <f aca="false">IF(F678="","",IF(AND(F678&gt;=4,G678&gt;=4,H678&gt;=4,I678&gt;=4),"Proficient",IF(AND(F678&lt;=2,G678&lt;=2,H678&lt;=2,I678&lt;=2),"Emerging","Progressing")))</f>
        <v/>
      </c>
      <c r="K678" s="6" t="str">
        <f aca="false">IF(F678="","",IF(J678="Proficient","Yes","No"))</f>
        <v/>
      </c>
      <c r="L678" s="6" t="str">
        <f aca="false">IF(F678="","",INDEX({"Listening","Speaking","Reading","Writing"},MATCH(MIN(F678:I678),F678:I678,0)))</f>
        <v/>
      </c>
      <c r="M678" s="17"/>
      <c r="N678" s="6" t="str">
        <f aca="false">IF(OR(F678="",M678=""),"",ROUND(AVERAGE(F678:I678)-M678,1))</f>
        <v/>
      </c>
      <c r="O678" s="17"/>
      <c r="P678" s="17"/>
      <c r="Q678" s="17"/>
    </row>
    <row r="679" customFormat="false" ht="15" hidden="false" customHeight="true" outlineLevel="0" collapsed="false">
      <c r="A679" s="17"/>
      <c r="B679" s="17"/>
      <c r="C679" s="17"/>
      <c r="D679" s="17"/>
      <c r="E679" s="17"/>
      <c r="F679" s="17"/>
      <c r="G679" s="17"/>
      <c r="H679" s="17"/>
      <c r="I679" s="17"/>
      <c r="J679" s="6" t="str">
        <f aca="false">IF(F679="","",IF(AND(F679&gt;=4,G679&gt;=4,H679&gt;=4,I679&gt;=4),"Proficient",IF(AND(F679&lt;=2,G679&lt;=2,H679&lt;=2,I679&lt;=2),"Emerging","Progressing")))</f>
        <v/>
      </c>
      <c r="K679" s="6" t="str">
        <f aca="false">IF(F679="","",IF(J679="Proficient","Yes","No"))</f>
        <v/>
      </c>
      <c r="L679" s="6" t="str">
        <f aca="false">IF(F679="","",INDEX({"Listening","Speaking","Reading","Writing"},MATCH(MIN(F679:I679),F679:I679,0)))</f>
        <v/>
      </c>
      <c r="M679" s="17"/>
      <c r="N679" s="6" t="str">
        <f aca="false">IF(OR(F679="",M679=""),"",ROUND(AVERAGE(F679:I679)-M679,1))</f>
        <v/>
      </c>
      <c r="O679" s="17"/>
      <c r="P679" s="17"/>
      <c r="Q679" s="17"/>
    </row>
    <row r="680" customFormat="false" ht="15" hidden="false" customHeight="true" outlineLevel="0" collapsed="false">
      <c r="A680" s="17"/>
      <c r="B680" s="17"/>
      <c r="C680" s="17"/>
      <c r="D680" s="17"/>
      <c r="E680" s="17"/>
      <c r="F680" s="17"/>
      <c r="G680" s="17"/>
      <c r="H680" s="17"/>
      <c r="I680" s="17"/>
      <c r="J680" s="6" t="str">
        <f aca="false">IF(F680="","",IF(AND(F680&gt;=4,G680&gt;=4,H680&gt;=4,I680&gt;=4),"Proficient",IF(AND(F680&lt;=2,G680&lt;=2,H680&lt;=2,I680&lt;=2),"Emerging","Progressing")))</f>
        <v/>
      </c>
      <c r="K680" s="6" t="str">
        <f aca="false">IF(F680="","",IF(J680="Proficient","Yes","No"))</f>
        <v/>
      </c>
      <c r="L680" s="6" t="str">
        <f aca="false">IF(F680="","",INDEX({"Listening","Speaking","Reading","Writing"},MATCH(MIN(F680:I680),F680:I680,0)))</f>
        <v/>
      </c>
      <c r="M680" s="17"/>
      <c r="N680" s="6" t="str">
        <f aca="false">IF(OR(F680="",M680=""),"",ROUND(AVERAGE(F680:I680)-M680,1))</f>
        <v/>
      </c>
      <c r="O680" s="17"/>
      <c r="P680" s="17"/>
      <c r="Q680" s="17"/>
    </row>
    <row r="681" customFormat="false" ht="15" hidden="false" customHeight="true" outlineLevel="0" collapsed="false">
      <c r="A681" s="17"/>
      <c r="B681" s="17"/>
      <c r="C681" s="17"/>
      <c r="D681" s="17"/>
      <c r="E681" s="17"/>
      <c r="F681" s="17"/>
      <c r="G681" s="17"/>
      <c r="H681" s="17"/>
      <c r="I681" s="17"/>
      <c r="J681" s="6" t="str">
        <f aca="false">IF(F681="","",IF(AND(F681&gt;=4,G681&gt;=4,H681&gt;=4,I681&gt;=4),"Proficient",IF(AND(F681&lt;=2,G681&lt;=2,H681&lt;=2,I681&lt;=2),"Emerging","Progressing")))</f>
        <v/>
      </c>
      <c r="K681" s="6" t="str">
        <f aca="false">IF(F681="","",IF(J681="Proficient","Yes","No"))</f>
        <v/>
      </c>
      <c r="L681" s="6" t="str">
        <f aca="false">IF(F681="","",INDEX({"Listening","Speaking","Reading","Writing"},MATCH(MIN(F681:I681),F681:I681,0)))</f>
        <v/>
      </c>
      <c r="M681" s="17"/>
      <c r="N681" s="6" t="str">
        <f aca="false">IF(OR(F681="",M681=""),"",ROUND(AVERAGE(F681:I681)-M681,1))</f>
        <v/>
      </c>
      <c r="O681" s="17"/>
      <c r="P681" s="17"/>
      <c r="Q681" s="17"/>
    </row>
    <row r="682" customFormat="false" ht="15" hidden="false" customHeight="true" outlineLevel="0" collapsed="false">
      <c r="A682" s="17"/>
      <c r="B682" s="17"/>
      <c r="C682" s="17"/>
      <c r="D682" s="17"/>
      <c r="E682" s="17"/>
      <c r="F682" s="17"/>
      <c r="G682" s="17"/>
      <c r="H682" s="17"/>
      <c r="I682" s="17"/>
      <c r="J682" s="6" t="str">
        <f aca="false">IF(F682="","",IF(AND(F682&gt;=4,G682&gt;=4,H682&gt;=4,I682&gt;=4),"Proficient",IF(AND(F682&lt;=2,G682&lt;=2,H682&lt;=2,I682&lt;=2),"Emerging","Progressing")))</f>
        <v/>
      </c>
      <c r="K682" s="6" t="str">
        <f aca="false">IF(F682="","",IF(J682="Proficient","Yes","No"))</f>
        <v/>
      </c>
      <c r="L682" s="6" t="str">
        <f aca="false">IF(F682="","",INDEX({"Listening","Speaking","Reading","Writing"},MATCH(MIN(F682:I682),F682:I682,0)))</f>
        <v/>
      </c>
      <c r="M682" s="17"/>
      <c r="N682" s="6" t="str">
        <f aca="false">IF(OR(F682="",M682=""),"",ROUND(AVERAGE(F682:I682)-M682,1))</f>
        <v/>
      </c>
      <c r="O682" s="17"/>
      <c r="P682" s="17"/>
      <c r="Q682" s="17"/>
    </row>
    <row r="683" customFormat="false" ht="15" hidden="false" customHeight="true" outlineLevel="0" collapsed="false">
      <c r="A683" s="17"/>
      <c r="B683" s="17"/>
      <c r="C683" s="17"/>
      <c r="D683" s="17"/>
      <c r="E683" s="17"/>
      <c r="F683" s="17"/>
      <c r="G683" s="17"/>
      <c r="H683" s="17"/>
      <c r="I683" s="17"/>
      <c r="J683" s="6" t="str">
        <f aca="false">IF(F683="","",IF(AND(F683&gt;=4,G683&gt;=4,H683&gt;=4,I683&gt;=4),"Proficient",IF(AND(F683&lt;=2,G683&lt;=2,H683&lt;=2,I683&lt;=2),"Emerging","Progressing")))</f>
        <v/>
      </c>
      <c r="K683" s="6" t="str">
        <f aca="false">IF(F683="","",IF(J683="Proficient","Yes","No"))</f>
        <v/>
      </c>
      <c r="L683" s="6" t="str">
        <f aca="false">IF(F683="","",INDEX({"Listening","Speaking","Reading","Writing"},MATCH(MIN(F683:I683),F683:I683,0)))</f>
        <v/>
      </c>
      <c r="M683" s="17"/>
      <c r="N683" s="6" t="str">
        <f aca="false">IF(OR(F683="",M683=""),"",ROUND(AVERAGE(F683:I683)-M683,1))</f>
        <v/>
      </c>
      <c r="O683" s="17"/>
      <c r="P683" s="17"/>
      <c r="Q683" s="17"/>
    </row>
    <row r="684" customFormat="false" ht="15" hidden="false" customHeight="true" outlineLevel="0" collapsed="false">
      <c r="A684" s="17"/>
      <c r="B684" s="17"/>
      <c r="C684" s="17"/>
      <c r="D684" s="17"/>
      <c r="E684" s="17"/>
      <c r="F684" s="17"/>
      <c r="G684" s="17"/>
      <c r="H684" s="17"/>
      <c r="I684" s="17"/>
      <c r="J684" s="6" t="str">
        <f aca="false">IF(F684="","",IF(AND(F684&gt;=4,G684&gt;=4,H684&gt;=4,I684&gt;=4),"Proficient",IF(AND(F684&lt;=2,G684&lt;=2,H684&lt;=2,I684&lt;=2),"Emerging","Progressing")))</f>
        <v/>
      </c>
      <c r="K684" s="6" t="str">
        <f aca="false">IF(F684="","",IF(J684="Proficient","Yes","No"))</f>
        <v/>
      </c>
      <c r="L684" s="6" t="str">
        <f aca="false">IF(F684="","",INDEX({"Listening","Speaking","Reading","Writing"},MATCH(MIN(F684:I684),F684:I684,0)))</f>
        <v/>
      </c>
      <c r="M684" s="17"/>
      <c r="N684" s="6" t="str">
        <f aca="false">IF(OR(F684="",M684=""),"",ROUND(AVERAGE(F684:I684)-M684,1))</f>
        <v/>
      </c>
      <c r="O684" s="17"/>
      <c r="P684" s="17"/>
      <c r="Q684" s="17"/>
    </row>
    <row r="685" customFormat="false" ht="15" hidden="false" customHeight="true" outlineLevel="0" collapsed="false">
      <c r="A685" s="17"/>
      <c r="B685" s="17"/>
      <c r="C685" s="17"/>
      <c r="D685" s="17"/>
      <c r="E685" s="17"/>
      <c r="F685" s="17"/>
      <c r="G685" s="17"/>
      <c r="H685" s="17"/>
      <c r="I685" s="17"/>
      <c r="J685" s="6" t="str">
        <f aca="false">IF(F685="","",IF(AND(F685&gt;=4,G685&gt;=4,H685&gt;=4,I685&gt;=4),"Proficient",IF(AND(F685&lt;=2,G685&lt;=2,H685&lt;=2,I685&lt;=2),"Emerging","Progressing")))</f>
        <v/>
      </c>
      <c r="K685" s="6" t="str">
        <f aca="false">IF(F685="","",IF(J685="Proficient","Yes","No"))</f>
        <v/>
      </c>
      <c r="L685" s="6" t="str">
        <f aca="false">IF(F685="","",INDEX({"Listening","Speaking","Reading","Writing"},MATCH(MIN(F685:I685),F685:I685,0)))</f>
        <v/>
      </c>
      <c r="M685" s="17"/>
      <c r="N685" s="6" t="str">
        <f aca="false">IF(OR(F685="",M685=""),"",ROUND(AVERAGE(F685:I685)-M685,1))</f>
        <v/>
      </c>
      <c r="O685" s="17"/>
      <c r="P685" s="17"/>
      <c r="Q685" s="17"/>
    </row>
    <row r="686" customFormat="false" ht="15" hidden="false" customHeight="true" outlineLevel="0" collapsed="false">
      <c r="A686" s="17"/>
      <c r="B686" s="17"/>
      <c r="C686" s="17"/>
      <c r="D686" s="17"/>
      <c r="E686" s="17"/>
      <c r="F686" s="17"/>
      <c r="G686" s="17"/>
      <c r="H686" s="17"/>
      <c r="I686" s="17"/>
      <c r="J686" s="6" t="str">
        <f aca="false">IF(F686="","",IF(AND(F686&gt;=4,G686&gt;=4,H686&gt;=4,I686&gt;=4),"Proficient",IF(AND(F686&lt;=2,G686&lt;=2,H686&lt;=2,I686&lt;=2),"Emerging","Progressing")))</f>
        <v/>
      </c>
      <c r="K686" s="6" t="str">
        <f aca="false">IF(F686="","",IF(J686="Proficient","Yes","No"))</f>
        <v/>
      </c>
      <c r="L686" s="6" t="str">
        <f aca="false">IF(F686="","",INDEX({"Listening","Speaking","Reading","Writing"},MATCH(MIN(F686:I686),F686:I686,0)))</f>
        <v/>
      </c>
      <c r="M686" s="17"/>
      <c r="N686" s="6" t="str">
        <f aca="false">IF(OR(F686="",M686=""),"",ROUND(AVERAGE(F686:I686)-M686,1))</f>
        <v/>
      </c>
      <c r="O686" s="17"/>
      <c r="P686" s="17"/>
      <c r="Q686" s="17"/>
    </row>
    <row r="687" customFormat="false" ht="15" hidden="false" customHeight="true" outlineLevel="0" collapsed="false">
      <c r="A687" s="17"/>
      <c r="B687" s="17"/>
      <c r="C687" s="17"/>
      <c r="D687" s="17"/>
      <c r="E687" s="17"/>
      <c r="F687" s="17"/>
      <c r="G687" s="17"/>
      <c r="H687" s="17"/>
      <c r="I687" s="17"/>
      <c r="J687" s="6" t="str">
        <f aca="false">IF(F687="","",IF(AND(F687&gt;=4,G687&gt;=4,H687&gt;=4,I687&gt;=4),"Proficient",IF(AND(F687&lt;=2,G687&lt;=2,H687&lt;=2,I687&lt;=2),"Emerging","Progressing")))</f>
        <v/>
      </c>
      <c r="K687" s="6" t="str">
        <f aca="false">IF(F687="","",IF(J687="Proficient","Yes","No"))</f>
        <v/>
      </c>
      <c r="L687" s="6" t="str">
        <f aca="false">IF(F687="","",INDEX({"Listening","Speaking","Reading","Writing"},MATCH(MIN(F687:I687),F687:I687,0)))</f>
        <v/>
      </c>
      <c r="M687" s="17"/>
      <c r="N687" s="6" t="str">
        <f aca="false">IF(OR(F687="",M687=""),"",ROUND(AVERAGE(F687:I687)-M687,1))</f>
        <v/>
      </c>
      <c r="O687" s="17"/>
      <c r="P687" s="17"/>
      <c r="Q687" s="17"/>
    </row>
    <row r="688" customFormat="false" ht="15" hidden="false" customHeight="true" outlineLevel="0" collapsed="false">
      <c r="A688" s="17"/>
      <c r="B688" s="17"/>
      <c r="C688" s="17"/>
      <c r="D688" s="17"/>
      <c r="E688" s="17"/>
      <c r="F688" s="17"/>
      <c r="G688" s="17"/>
      <c r="H688" s="17"/>
      <c r="I688" s="17"/>
      <c r="J688" s="6" t="str">
        <f aca="false">IF(F688="","",IF(AND(F688&gt;=4,G688&gt;=4,H688&gt;=4,I688&gt;=4),"Proficient",IF(AND(F688&lt;=2,G688&lt;=2,H688&lt;=2,I688&lt;=2),"Emerging","Progressing")))</f>
        <v/>
      </c>
      <c r="K688" s="6" t="str">
        <f aca="false">IF(F688="","",IF(J688="Proficient","Yes","No"))</f>
        <v/>
      </c>
      <c r="L688" s="6" t="str">
        <f aca="false">IF(F688="","",INDEX({"Listening","Speaking","Reading","Writing"},MATCH(MIN(F688:I688),F688:I688,0)))</f>
        <v/>
      </c>
      <c r="M688" s="17"/>
      <c r="N688" s="6" t="str">
        <f aca="false">IF(OR(F688="",M688=""),"",ROUND(AVERAGE(F688:I688)-M688,1))</f>
        <v/>
      </c>
      <c r="O688" s="17"/>
      <c r="P688" s="17"/>
      <c r="Q688" s="17"/>
    </row>
    <row r="689" customFormat="false" ht="15" hidden="false" customHeight="true" outlineLevel="0" collapsed="false">
      <c r="A689" s="17"/>
      <c r="B689" s="17"/>
      <c r="C689" s="17"/>
      <c r="D689" s="17"/>
      <c r="E689" s="17"/>
      <c r="F689" s="17"/>
      <c r="G689" s="17"/>
      <c r="H689" s="17"/>
      <c r="I689" s="17"/>
      <c r="J689" s="6" t="str">
        <f aca="false">IF(F689="","",IF(AND(F689&gt;=4,G689&gt;=4,H689&gt;=4,I689&gt;=4),"Proficient",IF(AND(F689&lt;=2,G689&lt;=2,H689&lt;=2,I689&lt;=2),"Emerging","Progressing")))</f>
        <v/>
      </c>
      <c r="K689" s="6" t="str">
        <f aca="false">IF(F689="","",IF(J689="Proficient","Yes","No"))</f>
        <v/>
      </c>
      <c r="L689" s="6" t="str">
        <f aca="false">IF(F689="","",INDEX({"Listening","Speaking","Reading","Writing"},MATCH(MIN(F689:I689),F689:I689,0)))</f>
        <v/>
      </c>
      <c r="M689" s="17"/>
      <c r="N689" s="6" t="str">
        <f aca="false">IF(OR(F689="",M689=""),"",ROUND(AVERAGE(F689:I689)-M689,1))</f>
        <v/>
      </c>
      <c r="O689" s="17"/>
      <c r="P689" s="17"/>
      <c r="Q689" s="17"/>
    </row>
    <row r="690" customFormat="false" ht="15" hidden="false" customHeight="true" outlineLevel="0" collapsed="false">
      <c r="A690" s="17"/>
      <c r="B690" s="17"/>
      <c r="C690" s="17"/>
      <c r="D690" s="17"/>
      <c r="E690" s="17"/>
      <c r="F690" s="17"/>
      <c r="G690" s="17"/>
      <c r="H690" s="17"/>
      <c r="I690" s="17"/>
      <c r="J690" s="6" t="str">
        <f aca="false">IF(F690="","",IF(AND(F690&gt;=4,G690&gt;=4,H690&gt;=4,I690&gt;=4),"Proficient",IF(AND(F690&lt;=2,G690&lt;=2,H690&lt;=2,I690&lt;=2),"Emerging","Progressing")))</f>
        <v/>
      </c>
      <c r="K690" s="6" t="str">
        <f aca="false">IF(F690="","",IF(J690="Proficient","Yes","No"))</f>
        <v/>
      </c>
      <c r="L690" s="6" t="str">
        <f aca="false">IF(F690="","",INDEX({"Listening","Speaking","Reading","Writing"},MATCH(MIN(F690:I690),F690:I690,0)))</f>
        <v/>
      </c>
      <c r="M690" s="17"/>
      <c r="N690" s="6" t="str">
        <f aca="false">IF(OR(F690="",M690=""),"",ROUND(AVERAGE(F690:I690)-M690,1))</f>
        <v/>
      </c>
      <c r="O690" s="17"/>
      <c r="P690" s="17"/>
      <c r="Q690" s="17"/>
    </row>
    <row r="691" customFormat="false" ht="15" hidden="false" customHeight="true" outlineLevel="0" collapsed="false">
      <c r="A691" s="17"/>
      <c r="B691" s="17"/>
      <c r="C691" s="17"/>
      <c r="D691" s="17"/>
      <c r="E691" s="17"/>
      <c r="F691" s="17"/>
      <c r="G691" s="17"/>
      <c r="H691" s="17"/>
      <c r="I691" s="17"/>
      <c r="J691" s="6" t="str">
        <f aca="false">IF(F691="","",IF(AND(F691&gt;=4,G691&gt;=4,H691&gt;=4,I691&gt;=4),"Proficient",IF(AND(F691&lt;=2,G691&lt;=2,H691&lt;=2,I691&lt;=2),"Emerging","Progressing")))</f>
        <v/>
      </c>
      <c r="K691" s="6" t="str">
        <f aca="false">IF(F691="","",IF(J691="Proficient","Yes","No"))</f>
        <v/>
      </c>
      <c r="L691" s="6" t="str">
        <f aca="false">IF(F691="","",INDEX({"Listening","Speaking","Reading","Writing"},MATCH(MIN(F691:I691),F691:I691,0)))</f>
        <v/>
      </c>
      <c r="M691" s="17"/>
      <c r="N691" s="6" t="str">
        <f aca="false">IF(OR(F691="",M691=""),"",ROUND(AVERAGE(F691:I691)-M691,1))</f>
        <v/>
      </c>
      <c r="O691" s="17"/>
      <c r="P691" s="17"/>
      <c r="Q691" s="17"/>
    </row>
    <row r="692" customFormat="false" ht="15" hidden="false" customHeight="true" outlineLevel="0" collapsed="false">
      <c r="A692" s="17"/>
      <c r="B692" s="17"/>
      <c r="C692" s="17"/>
      <c r="D692" s="17"/>
      <c r="E692" s="17"/>
      <c r="F692" s="17"/>
      <c r="G692" s="17"/>
      <c r="H692" s="17"/>
      <c r="I692" s="17"/>
      <c r="J692" s="6" t="str">
        <f aca="false">IF(F692="","",IF(AND(F692&gt;=4,G692&gt;=4,H692&gt;=4,I692&gt;=4),"Proficient",IF(AND(F692&lt;=2,G692&lt;=2,H692&lt;=2,I692&lt;=2),"Emerging","Progressing")))</f>
        <v/>
      </c>
      <c r="K692" s="6" t="str">
        <f aca="false">IF(F692="","",IF(J692="Proficient","Yes","No"))</f>
        <v/>
      </c>
      <c r="L692" s="6" t="str">
        <f aca="false">IF(F692="","",INDEX({"Listening","Speaking","Reading","Writing"},MATCH(MIN(F692:I692),F692:I692,0)))</f>
        <v/>
      </c>
      <c r="M692" s="17"/>
      <c r="N692" s="6" t="str">
        <f aca="false">IF(OR(F692="",M692=""),"",ROUND(AVERAGE(F692:I692)-M692,1))</f>
        <v/>
      </c>
      <c r="O692" s="17"/>
      <c r="P692" s="17"/>
      <c r="Q692" s="17"/>
    </row>
    <row r="693" customFormat="false" ht="15" hidden="false" customHeight="true" outlineLevel="0" collapsed="false">
      <c r="A693" s="17"/>
      <c r="B693" s="17"/>
      <c r="C693" s="17"/>
      <c r="D693" s="17"/>
      <c r="E693" s="17"/>
      <c r="F693" s="17"/>
      <c r="G693" s="17"/>
      <c r="H693" s="17"/>
      <c r="I693" s="17"/>
      <c r="J693" s="6" t="str">
        <f aca="false">IF(F693="","",IF(AND(F693&gt;=4,G693&gt;=4,H693&gt;=4,I693&gt;=4),"Proficient",IF(AND(F693&lt;=2,G693&lt;=2,H693&lt;=2,I693&lt;=2),"Emerging","Progressing")))</f>
        <v/>
      </c>
      <c r="K693" s="6" t="str">
        <f aca="false">IF(F693="","",IF(J693="Proficient","Yes","No"))</f>
        <v/>
      </c>
      <c r="L693" s="6" t="str">
        <f aca="false">IF(F693="","",INDEX({"Listening","Speaking","Reading","Writing"},MATCH(MIN(F693:I693),F693:I693,0)))</f>
        <v/>
      </c>
      <c r="M693" s="17"/>
      <c r="N693" s="6" t="str">
        <f aca="false">IF(OR(F693="",M693=""),"",ROUND(AVERAGE(F693:I693)-M693,1))</f>
        <v/>
      </c>
      <c r="O693" s="17"/>
      <c r="P693" s="17"/>
      <c r="Q693" s="17"/>
    </row>
    <row r="694" customFormat="false" ht="15" hidden="false" customHeight="true" outlineLevel="0" collapsed="false">
      <c r="A694" s="17"/>
      <c r="B694" s="17"/>
      <c r="C694" s="17"/>
      <c r="D694" s="17"/>
      <c r="E694" s="17"/>
      <c r="F694" s="17"/>
      <c r="G694" s="17"/>
      <c r="H694" s="17"/>
      <c r="I694" s="17"/>
      <c r="J694" s="6" t="str">
        <f aca="false">IF(F694="","",IF(AND(F694&gt;=4,G694&gt;=4,H694&gt;=4,I694&gt;=4),"Proficient",IF(AND(F694&lt;=2,G694&lt;=2,H694&lt;=2,I694&lt;=2),"Emerging","Progressing")))</f>
        <v/>
      </c>
      <c r="K694" s="6" t="str">
        <f aca="false">IF(F694="","",IF(J694="Proficient","Yes","No"))</f>
        <v/>
      </c>
      <c r="L694" s="6" t="str">
        <f aca="false">IF(F694="","",INDEX({"Listening","Speaking","Reading","Writing"},MATCH(MIN(F694:I694),F694:I694,0)))</f>
        <v/>
      </c>
      <c r="M694" s="17"/>
      <c r="N694" s="6" t="str">
        <f aca="false">IF(OR(F694="",M694=""),"",ROUND(AVERAGE(F694:I694)-M694,1))</f>
        <v/>
      </c>
      <c r="O694" s="17"/>
      <c r="P694" s="17"/>
      <c r="Q694" s="17"/>
    </row>
    <row r="695" customFormat="false" ht="15" hidden="false" customHeight="true" outlineLevel="0" collapsed="false">
      <c r="A695" s="17"/>
      <c r="B695" s="17"/>
      <c r="C695" s="17"/>
      <c r="D695" s="17"/>
      <c r="E695" s="17"/>
      <c r="F695" s="17"/>
      <c r="G695" s="17"/>
      <c r="H695" s="17"/>
      <c r="I695" s="17"/>
      <c r="J695" s="6" t="str">
        <f aca="false">IF(F695="","",IF(AND(F695&gt;=4,G695&gt;=4,H695&gt;=4,I695&gt;=4),"Proficient",IF(AND(F695&lt;=2,G695&lt;=2,H695&lt;=2,I695&lt;=2),"Emerging","Progressing")))</f>
        <v/>
      </c>
      <c r="K695" s="6" t="str">
        <f aca="false">IF(F695="","",IF(J695="Proficient","Yes","No"))</f>
        <v/>
      </c>
      <c r="L695" s="6" t="str">
        <f aca="false">IF(F695="","",INDEX({"Listening","Speaking","Reading","Writing"},MATCH(MIN(F695:I695),F695:I695,0)))</f>
        <v/>
      </c>
      <c r="M695" s="17"/>
      <c r="N695" s="6" t="str">
        <f aca="false">IF(OR(F695="",M695=""),"",ROUND(AVERAGE(F695:I695)-M695,1))</f>
        <v/>
      </c>
      <c r="O695" s="17"/>
      <c r="P695" s="17"/>
      <c r="Q695" s="17"/>
    </row>
    <row r="696" customFormat="false" ht="15" hidden="false" customHeight="true" outlineLevel="0" collapsed="false">
      <c r="A696" s="17"/>
      <c r="B696" s="17"/>
      <c r="C696" s="17"/>
      <c r="D696" s="17"/>
      <c r="E696" s="17"/>
      <c r="F696" s="17"/>
      <c r="G696" s="17"/>
      <c r="H696" s="17"/>
      <c r="I696" s="17"/>
      <c r="J696" s="6" t="str">
        <f aca="false">IF(F696="","",IF(AND(F696&gt;=4,G696&gt;=4,H696&gt;=4,I696&gt;=4),"Proficient",IF(AND(F696&lt;=2,G696&lt;=2,H696&lt;=2,I696&lt;=2),"Emerging","Progressing")))</f>
        <v/>
      </c>
      <c r="K696" s="6" t="str">
        <f aca="false">IF(F696="","",IF(J696="Proficient","Yes","No"))</f>
        <v/>
      </c>
      <c r="L696" s="6" t="str">
        <f aca="false">IF(F696="","",INDEX({"Listening","Speaking","Reading","Writing"},MATCH(MIN(F696:I696),F696:I696,0)))</f>
        <v/>
      </c>
      <c r="M696" s="17"/>
      <c r="N696" s="6" t="str">
        <f aca="false">IF(OR(F696="",M696=""),"",ROUND(AVERAGE(F696:I696)-M696,1))</f>
        <v/>
      </c>
      <c r="O696" s="17"/>
      <c r="P696" s="17"/>
      <c r="Q696" s="17"/>
    </row>
    <row r="697" customFormat="false" ht="15" hidden="false" customHeight="true" outlineLevel="0" collapsed="false">
      <c r="A697" s="17"/>
      <c r="B697" s="17"/>
      <c r="C697" s="17"/>
      <c r="D697" s="17"/>
      <c r="E697" s="17"/>
      <c r="F697" s="17"/>
      <c r="G697" s="17"/>
      <c r="H697" s="17"/>
      <c r="I697" s="17"/>
      <c r="J697" s="6" t="str">
        <f aca="false">IF(F697="","",IF(AND(F697&gt;=4,G697&gt;=4,H697&gt;=4,I697&gt;=4),"Proficient",IF(AND(F697&lt;=2,G697&lt;=2,H697&lt;=2,I697&lt;=2),"Emerging","Progressing")))</f>
        <v/>
      </c>
      <c r="K697" s="6" t="str">
        <f aca="false">IF(F697="","",IF(J697="Proficient","Yes","No"))</f>
        <v/>
      </c>
      <c r="L697" s="6" t="str">
        <f aca="false">IF(F697="","",INDEX({"Listening","Speaking","Reading","Writing"},MATCH(MIN(F697:I697),F697:I697,0)))</f>
        <v/>
      </c>
      <c r="M697" s="17"/>
      <c r="N697" s="6" t="str">
        <f aca="false">IF(OR(F697="",M697=""),"",ROUND(AVERAGE(F697:I697)-M697,1))</f>
        <v/>
      </c>
      <c r="O697" s="17"/>
      <c r="P697" s="17"/>
      <c r="Q697" s="17"/>
    </row>
    <row r="698" customFormat="false" ht="15" hidden="false" customHeight="true" outlineLevel="0" collapsed="false">
      <c r="A698" s="17"/>
      <c r="B698" s="17"/>
      <c r="C698" s="17"/>
      <c r="D698" s="17"/>
      <c r="E698" s="17"/>
      <c r="F698" s="17"/>
      <c r="G698" s="17"/>
      <c r="H698" s="17"/>
      <c r="I698" s="17"/>
      <c r="J698" s="6" t="str">
        <f aca="false">IF(F698="","",IF(AND(F698&gt;=4,G698&gt;=4,H698&gt;=4,I698&gt;=4),"Proficient",IF(AND(F698&lt;=2,G698&lt;=2,H698&lt;=2,I698&lt;=2),"Emerging","Progressing")))</f>
        <v/>
      </c>
      <c r="K698" s="6" t="str">
        <f aca="false">IF(F698="","",IF(J698="Proficient","Yes","No"))</f>
        <v/>
      </c>
      <c r="L698" s="6" t="str">
        <f aca="false">IF(F698="","",INDEX({"Listening","Speaking","Reading","Writing"},MATCH(MIN(F698:I698),F698:I698,0)))</f>
        <v/>
      </c>
      <c r="M698" s="17"/>
      <c r="N698" s="6" t="str">
        <f aca="false">IF(OR(F698="",M698=""),"",ROUND(AVERAGE(F698:I698)-M698,1))</f>
        <v/>
      </c>
      <c r="O698" s="17"/>
      <c r="P698" s="17"/>
      <c r="Q698" s="17"/>
    </row>
    <row r="699" customFormat="false" ht="15" hidden="false" customHeight="true" outlineLevel="0" collapsed="false">
      <c r="A699" s="17"/>
      <c r="B699" s="17"/>
      <c r="C699" s="17"/>
      <c r="D699" s="17"/>
      <c r="E699" s="17"/>
      <c r="F699" s="17"/>
      <c r="G699" s="17"/>
      <c r="H699" s="17"/>
      <c r="I699" s="17"/>
      <c r="J699" s="6" t="str">
        <f aca="false">IF(F699="","",IF(AND(F699&gt;=4,G699&gt;=4,H699&gt;=4,I699&gt;=4),"Proficient",IF(AND(F699&lt;=2,G699&lt;=2,H699&lt;=2,I699&lt;=2),"Emerging","Progressing")))</f>
        <v/>
      </c>
      <c r="K699" s="6" t="str">
        <f aca="false">IF(F699="","",IF(J699="Proficient","Yes","No"))</f>
        <v/>
      </c>
      <c r="L699" s="6" t="str">
        <f aca="false">IF(F699="","",INDEX({"Listening","Speaking","Reading","Writing"},MATCH(MIN(F699:I699),F699:I699,0)))</f>
        <v/>
      </c>
      <c r="M699" s="17"/>
      <c r="N699" s="6" t="str">
        <f aca="false">IF(OR(F699="",M699=""),"",ROUND(AVERAGE(F699:I699)-M699,1))</f>
        <v/>
      </c>
      <c r="O699" s="17"/>
      <c r="P699" s="17"/>
      <c r="Q699" s="17"/>
    </row>
    <row r="700" customFormat="false" ht="15" hidden="false" customHeight="true" outlineLevel="0" collapsed="false">
      <c r="A700" s="17"/>
      <c r="B700" s="17"/>
      <c r="C700" s="17"/>
      <c r="D700" s="17"/>
      <c r="E700" s="17"/>
      <c r="F700" s="17"/>
      <c r="G700" s="17"/>
      <c r="H700" s="17"/>
      <c r="I700" s="17"/>
      <c r="J700" s="6" t="str">
        <f aca="false">IF(F700="","",IF(AND(F700&gt;=4,G700&gt;=4,H700&gt;=4,I700&gt;=4),"Proficient",IF(AND(F700&lt;=2,G700&lt;=2,H700&lt;=2,I700&lt;=2),"Emerging","Progressing")))</f>
        <v/>
      </c>
      <c r="K700" s="6" t="str">
        <f aca="false">IF(F700="","",IF(J700="Proficient","Yes","No"))</f>
        <v/>
      </c>
      <c r="L700" s="6" t="str">
        <f aca="false">IF(F700="","",INDEX({"Listening","Speaking","Reading","Writing"},MATCH(MIN(F700:I700),F700:I700,0)))</f>
        <v/>
      </c>
      <c r="M700" s="17"/>
      <c r="N700" s="6" t="str">
        <f aca="false">IF(OR(F700="",M700=""),"",ROUND(AVERAGE(F700:I700)-M700,1))</f>
        <v/>
      </c>
      <c r="O700" s="17"/>
      <c r="P700" s="17"/>
      <c r="Q700" s="17"/>
    </row>
    <row r="701" customFormat="false" ht="15" hidden="false" customHeight="true" outlineLevel="0" collapsed="false">
      <c r="A701" s="17"/>
      <c r="B701" s="17"/>
      <c r="C701" s="17"/>
      <c r="D701" s="17"/>
      <c r="E701" s="17"/>
      <c r="F701" s="17"/>
      <c r="G701" s="17"/>
      <c r="H701" s="17"/>
      <c r="I701" s="17"/>
      <c r="J701" s="6" t="str">
        <f aca="false">IF(F701="","",IF(AND(F701&gt;=4,G701&gt;=4,H701&gt;=4,I701&gt;=4),"Proficient",IF(AND(F701&lt;=2,G701&lt;=2,H701&lt;=2,I701&lt;=2),"Emerging","Progressing")))</f>
        <v/>
      </c>
      <c r="K701" s="6" t="str">
        <f aca="false">IF(F701="","",IF(J701="Proficient","Yes","No"))</f>
        <v/>
      </c>
      <c r="L701" s="6" t="str">
        <f aca="false">IF(F701="","",INDEX({"Listening","Speaking","Reading","Writing"},MATCH(MIN(F701:I701),F701:I701,0)))</f>
        <v/>
      </c>
      <c r="M701" s="17"/>
      <c r="N701" s="6" t="str">
        <f aca="false">IF(OR(F701="",M701=""),"",ROUND(AVERAGE(F701:I701)-M701,1))</f>
        <v/>
      </c>
      <c r="O701" s="17"/>
      <c r="P701" s="17"/>
      <c r="Q701" s="17"/>
    </row>
    <row r="702" customFormat="false" ht="15" hidden="false" customHeight="true" outlineLevel="0" collapsed="false">
      <c r="A702" s="17"/>
      <c r="B702" s="17"/>
      <c r="C702" s="17"/>
      <c r="D702" s="17"/>
      <c r="E702" s="17"/>
      <c r="F702" s="17"/>
      <c r="G702" s="17"/>
      <c r="H702" s="17"/>
      <c r="I702" s="17"/>
      <c r="J702" s="6" t="str">
        <f aca="false">IF(F702="","",IF(AND(F702&gt;=4,G702&gt;=4,H702&gt;=4,I702&gt;=4),"Proficient",IF(AND(F702&lt;=2,G702&lt;=2,H702&lt;=2,I702&lt;=2),"Emerging","Progressing")))</f>
        <v/>
      </c>
      <c r="K702" s="6" t="str">
        <f aca="false">IF(F702="","",IF(J702="Proficient","Yes","No"))</f>
        <v/>
      </c>
      <c r="L702" s="6" t="str">
        <f aca="false">IF(F702="","",INDEX({"Listening","Speaking","Reading","Writing"},MATCH(MIN(F702:I702),F702:I702,0)))</f>
        <v/>
      </c>
      <c r="M702" s="17"/>
      <c r="N702" s="6" t="str">
        <f aca="false">IF(OR(F702="",M702=""),"",ROUND(AVERAGE(F702:I702)-M702,1))</f>
        <v/>
      </c>
      <c r="O702" s="17"/>
      <c r="P702" s="17"/>
      <c r="Q702" s="17"/>
    </row>
    <row r="703" customFormat="false" ht="15" hidden="false" customHeight="true" outlineLevel="0" collapsed="false">
      <c r="A703" s="17"/>
      <c r="B703" s="17"/>
      <c r="C703" s="17"/>
      <c r="D703" s="17"/>
      <c r="E703" s="17"/>
      <c r="F703" s="17"/>
      <c r="G703" s="17"/>
      <c r="H703" s="17"/>
      <c r="I703" s="17"/>
      <c r="J703" s="6" t="str">
        <f aca="false">IF(F703="","",IF(AND(F703&gt;=4,G703&gt;=4,H703&gt;=4,I703&gt;=4),"Proficient",IF(AND(F703&lt;=2,G703&lt;=2,H703&lt;=2,I703&lt;=2),"Emerging","Progressing")))</f>
        <v/>
      </c>
      <c r="K703" s="6" t="str">
        <f aca="false">IF(F703="","",IF(J703="Proficient","Yes","No"))</f>
        <v/>
      </c>
      <c r="L703" s="6" t="str">
        <f aca="false">IF(F703="","",INDEX({"Listening","Speaking","Reading","Writing"},MATCH(MIN(F703:I703),F703:I703,0)))</f>
        <v/>
      </c>
      <c r="M703" s="17"/>
      <c r="N703" s="6" t="str">
        <f aca="false">IF(OR(F703="",M703=""),"",ROUND(AVERAGE(F703:I703)-M703,1))</f>
        <v/>
      </c>
      <c r="O703" s="17"/>
      <c r="P703" s="17"/>
      <c r="Q703" s="17"/>
    </row>
    <row r="704" customFormat="false" ht="15" hidden="false" customHeight="true" outlineLevel="0" collapsed="false">
      <c r="A704" s="17"/>
      <c r="B704" s="17"/>
      <c r="C704" s="17"/>
      <c r="D704" s="17"/>
      <c r="E704" s="17"/>
      <c r="F704" s="17"/>
      <c r="G704" s="17"/>
      <c r="H704" s="17"/>
      <c r="I704" s="17"/>
      <c r="J704" s="6" t="str">
        <f aca="false">IF(F704="","",IF(AND(F704&gt;=4,G704&gt;=4,H704&gt;=4,I704&gt;=4),"Proficient",IF(AND(F704&lt;=2,G704&lt;=2,H704&lt;=2,I704&lt;=2),"Emerging","Progressing")))</f>
        <v/>
      </c>
      <c r="K704" s="6" t="str">
        <f aca="false">IF(F704="","",IF(J704="Proficient","Yes","No"))</f>
        <v/>
      </c>
      <c r="L704" s="6" t="str">
        <f aca="false">IF(F704="","",INDEX({"Listening","Speaking","Reading","Writing"},MATCH(MIN(F704:I704),F704:I704,0)))</f>
        <v/>
      </c>
      <c r="M704" s="17"/>
      <c r="N704" s="6" t="str">
        <f aca="false">IF(OR(F704="",M704=""),"",ROUND(AVERAGE(F704:I704)-M704,1))</f>
        <v/>
      </c>
      <c r="O704" s="17"/>
      <c r="P704" s="17"/>
      <c r="Q704" s="17"/>
    </row>
    <row r="705" customFormat="false" ht="15" hidden="false" customHeight="true" outlineLevel="0" collapsed="false">
      <c r="A705" s="17"/>
      <c r="B705" s="17"/>
      <c r="C705" s="17"/>
      <c r="D705" s="17"/>
      <c r="E705" s="17"/>
      <c r="F705" s="17"/>
      <c r="G705" s="17"/>
      <c r="H705" s="17"/>
      <c r="I705" s="17"/>
      <c r="J705" s="6" t="str">
        <f aca="false">IF(F705="","",IF(AND(F705&gt;=4,G705&gt;=4,H705&gt;=4,I705&gt;=4),"Proficient",IF(AND(F705&lt;=2,G705&lt;=2,H705&lt;=2,I705&lt;=2),"Emerging","Progressing")))</f>
        <v/>
      </c>
      <c r="K705" s="6" t="str">
        <f aca="false">IF(F705="","",IF(J705="Proficient","Yes","No"))</f>
        <v/>
      </c>
      <c r="L705" s="6" t="str">
        <f aca="false">IF(F705="","",INDEX({"Listening","Speaking","Reading","Writing"},MATCH(MIN(F705:I705),F705:I705,0)))</f>
        <v/>
      </c>
      <c r="M705" s="17"/>
      <c r="N705" s="6" t="str">
        <f aca="false">IF(OR(F705="",M705=""),"",ROUND(AVERAGE(F705:I705)-M705,1))</f>
        <v/>
      </c>
      <c r="O705" s="17"/>
      <c r="P705" s="17"/>
      <c r="Q705" s="17"/>
    </row>
    <row r="706" customFormat="false" ht="15" hidden="false" customHeight="true" outlineLevel="0" collapsed="false">
      <c r="A706" s="17"/>
      <c r="B706" s="17"/>
      <c r="C706" s="17"/>
      <c r="D706" s="17"/>
      <c r="E706" s="17"/>
      <c r="F706" s="17"/>
      <c r="G706" s="17"/>
      <c r="H706" s="17"/>
      <c r="I706" s="17"/>
      <c r="J706" s="6" t="str">
        <f aca="false">IF(F706="","",IF(AND(F706&gt;=4,G706&gt;=4,H706&gt;=4,I706&gt;=4),"Proficient",IF(AND(F706&lt;=2,G706&lt;=2,H706&lt;=2,I706&lt;=2),"Emerging","Progressing")))</f>
        <v/>
      </c>
      <c r="K706" s="6" t="str">
        <f aca="false">IF(F706="","",IF(J706="Proficient","Yes","No"))</f>
        <v/>
      </c>
      <c r="L706" s="6" t="str">
        <f aca="false">IF(F706="","",INDEX({"Listening","Speaking","Reading","Writing"},MATCH(MIN(F706:I706),F706:I706,0)))</f>
        <v/>
      </c>
      <c r="M706" s="17"/>
      <c r="N706" s="6" t="str">
        <f aca="false">IF(OR(F706="",M706=""),"",ROUND(AVERAGE(F706:I706)-M706,1))</f>
        <v/>
      </c>
      <c r="O706" s="17"/>
      <c r="P706" s="17"/>
      <c r="Q706" s="17"/>
    </row>
    <row r="707" customFormat="false" ht="15" hidden="false" customHeight="true" outlineLevel="0" collapsed="false">
      <c r="A707" s="17"/>
      <c r="B707" s="17"/>
      <c r="C707" s="17"/>
      <c r="D707" s="17"/>
      <c r="E707" s="17"/>
      <c r="F707" s="17"/>
      <c r="G707" s="17"/>
      <c r="H707" s="17"/>
      <c r="I707" s="17"/>
      <c r="J707" s="6" t="str">
        <f aca="false">IF(F707="","",IF(AND(F707&gt;=4,G707&gt;=4,H707&gt;=4,I707&gt;=4),"Proficient",IF(AND(F707&lt;=2,G707&lt;=2,H707&lt;=2,I707&lt;=2),"Emerging","Progressing")))</f>
        <v/>
      </c>
      <c r="K707" s="6" t="str">
        <f aca="false">IF(F707="","",IF(J707="Proficient","Yes","No"))</f>
        <v/>
      </c>
      <c r="L707" s="6" t="str">
        <f aca="false">IF(F707="","",INDEX({"Listening","Speaking","Reading","Writing"},MATCH(MIN(F707:I707),F707:I707,0)))</f>
        <v/>
      </c>
      <c r="M707" s="17"/>
      <c r="N707" s="6" t="str">
        <f aca="false">IF(OR(F707="",M707=""),"",ROUND(AVERAGE(F707:I707)-M707,1))</f>
        <v/>
      </c>
      <c r="O707" s="17"/>
      <c r="P707" s="17"/>
      <c r="Q707" s="17"/>
    </row>
    <row r="708" customFormat="false" ht="15" hidden="false" customHeight="true" outlineLevel="0" collapsed="false">
      <c r="A708" s="17"/>
      <c r="B708" s="17"/>
      <c r="C708" s="17"/>
      <c r="D708" s="17"/>
      <c r="E708" s="17"/>
      <c r="F708" s="17"/>
      <c r="G708" s="17"/>
      <c r="H708" s="17"/>
      <c r="I708" s="17"/>
      <c r="J708" s="6" t="str">
        <f aca="false">IF(F708="","",IF(AND(F708&gt;=4,G708&gt;=4,H708&gt;=4,I708&gt;=4),"Proficient",IF(AND(F708&lt;=2,G708&lt;=2,H708&lt;=2,I708&lt;=2),"Emerging","Progressing")))</f>
        <v/>
      </c>
      <c r="K708" s="6" t="str">
        <f aca="false">IF(F708="","",IF(J708="Proficient","Yes","No"))</f>
        <v/>
      </c>
      <c r="L708" s="6" t="str">
        <f aca="false">IF(F708="","",INDEX({"Listening","Speaking","Reading","Writing"},MATCH(MIN(F708:I708),F708:I708,0)))</f>
        <v/>
      </c>
      <c r="M708" s="17"/>
      <c r="N708" s="6" t="str">
        <f aca="false">IF(OR(F708="",M708=""),"",ROUND(AVERAGE(F708:I708)-M708,1))</f>
        <v/>
      </c>
      <c r="O708" s="17"/>
      <c r="P708" s="17"/>
      <c r="Q708" s="17"/>
    </row>
    <row r="709" customFormat="false" ht="15" hidden="false" customHeight="true" outlineLevel="0" collapsed="false">
      <c r="A709" s="17"/>
      <c r="B709" s="17"/>
      <c r="C709" s="17"/>
      <c r="D709" s="17"/>
      <c r="E709" s="17"/>
      <c r="F709" s="17"/>
      <c r="G709" s="17"/>
      <c r="H709" s="17"/>
      <c r="I709" s="17"/>
      <c r="J709" s="6" t="str">
        <f aca="false">IF(F709="","",IF(AND(F709&gt;=4,G709&gt;=4,H709&gt;=4,I709&gt;=4),"Proficient",IF(AND(F709&lt;=2,G709&lt;=2,H709&lt;=2,I709&lt;=2),"Emerging","Progressing")))</f>
        <v/>
      </c>
      <c r="K709" s="6" t="str">
        <f aca="false">IF(F709="","",IF(J709="Proficient","Yes","No"))</f>
        <v/>
      </c>
      <c r="L709" s="6" t="str">
        <f aca="false">IF(F709="","",INDEX({"Listening","Speaking","Reading","Writing"},MATCH(MIN(F709:I709),F709:I709,0)))</f>
        <v/>
      </c>
      <c r="M709" s="17"/>
      <c r="N709" s="6" t="str">
        <f aca="false">IF(OR(F709="",M709=""),"",ROUND(AVERAGE(F709:I709)-M709,1))</f>
        <v/>
      </c>
      <c r="O709" s="17"/>
      <c r="P709" s="17"/>
      <c r="Q709" s="17"/>
    </row>
    <row r="710" customFormat="false" ht="15" hidden="false" customHeight="true" outlineLevel="0" collapsed="false">
      <c r="A710" s="17"/>
      <c r="B710" s="17"/>
      <c r="C710" s="17"/>
      <c r="D710" s="17"/>
      <c r="E710" s="17"/>
      <c r="F710" s="17"/>
      <c r="G710" s="17"/>
      <c r="H710" s="17"/>
      <c r="I710" s="17"/>
      <c r="J710" s="6" t="str">
        <f aca="false">IF(F710="","",IF(AND(F710&gt;=4,G710&gt;=4,H710&gt;=4,I710&gt;=4),"Proficient",IF(AND(F710&lt;=2,G710&lt;=2,H710&lt;=2,I710&lt;=2),"Emerging","Progressing")))</f>
        <v/>
      </c>
      <c r="K710" s="6" t="str">
        <f aca="false">IF(F710="","",IF(J710="Proficient","Yes","No"))</f>
        <v/>
      </c>
      <c r="L710" s="6" t="str">
        <f aca="false">IF(F710="","",INDEX({"Listening","Speaking","Reading","Writing"},MATCH(MIN(F710:I710),F710:I710,0)))</f>
        <v/>
      </c>
      <c r="M710" s="17"/>
      <c r="N710" s="6" t="str">
        <f aca="false">IF(OR(F710="",M710=""),"",ROUND(AVERAGE(F710:I710)-M710,1))</f>
        <v/>
      </c>
      <c r="O710" s="17"/>
      <c r="P710" s="17"/>
      <c r="Q710" s="17"/>
    </row>
    <row r="711" customFormat="false" ht="15" hidden="false" customHeight="true" outlineLevel="0" collapsed="false">
      <c r="A711" s="17"/>
      <c r="B711" s="17"/>
      <c r="C711" s="17"/>
      <c r="D711" s="17"/>
      <c r="E711" s="17"/>
      <c r="F711" s="17"/>
      <c r="G711" s="17"/>
      <c r="H711" s="17"/>
      <c r="I711" s="17"/>
      <c r="J711" s="6" t="str">
        <f aca="false">IF(F711="","",IF(AND(F711&gt;=4,G711&gt;=4,H711&gt;=4,I711&gt;=4),"Proficient",IF(AND(F711&lt;=2,G711&lt;=2,H711&lt;=2,I711&lt;=2),"Emerging","Progressing")))</f>
        <v/>
      </c>
      <c r="K711" s="6" t="str">
        <f aca="false">IF(F711="","",IF(J711="Proficient","Yes","No"))</f>
        <v/>
      </c>
      <c r="L711" s="6" t="str">
        <f aca="false">IF(F711="","",INDEX({"Listening","Speaking","Reading","Writing"},MATCH(MIN(F711:I711),F711:I711,0)))</f>
        <v/>
      </c>
      <c r="M711" s="17"/>
      <c r="N711" s="6" t="str">
        <f aca="false">IF(OR(F711="",M711=""),"",ROUND(AVERAGE(F711:I711)-M711,1))</f>
        <v/>
      </c>
      <c r="O711" s="17"/>
      <c r="P711" s="17"/>
      <c r="Q711" s="17"/>
    </row>
    <row r="712" customFormat="false" ht="15" hidden="false" customHeight="true" outlineLevel="0" collapsed="false">
      <c r="A712" s="17"/>
      <c r="B712" s="17"/>
      <c r="C712" s="17"/>
      <c r="D712" s="17"/>
      <c r="E712" s="17"/>
      <c r="F712" s="17"/>
      <c r="G712" s="17"/>
      <c r="H712" s="17"/>
      <c r="I712" s="17"/>
      <c r="J712" s="6" t="str">
        <f aca="false">IF(F712="","",IF(AND(F712&gt;=4,G712&gt;=4,H712&gt;=4,I712&gt;=4),"Proficient",IF(AND(F712&lt;=2,G712&lt;=2,H712&lt;=2,I712&lt;=2),"Emerging","Progressing")))</f>
        <v/>
      </c>
      <c r="K712" s="6" t="str">
        <f aca="false">IF(F712="","",IF(J712="Proficient","Yes","No"))</f>
        <v/>
      </c>
      <c r="L712" s="6" t="str">
        <f aca="false">IF(F712="","",INDEX({"Listening","Speaking","Reading","Writing"},MATCH(MIN(F712:I712),F712:I712,0)))</f>
        <v/>
      </c>
      <c r="M712" s="17"/>
      <c r="N712" s="6" t="str">
        <f aca="false">IF(OR(F712="",M712=""),"",ROUND(AVERAGE(F712:I712)-M712,1))</f>
        <v/>
      </c>
      <c r="O712" s="17"/>
      <c r="P712" s="17"/>
      <c r="Q712" s="17"/>
    </row>
    <row r="713" customFormat="false" ht="15" hidden="false" customHeight="true" outlineLevel="0" collapsed="false">
      <c r="A713" s="17"/>
      <c r="B713" s="17"/>
      <c r="C713" s="17"/>
      <c r="D713" s="17"/>
      <c r="E713" s="17"/>
      <c r="F713" s="17"/>
      <c r="G713" s="17"/>
      <c r="H713" s="17"/>
      <c r="I713" s="17"/>
      <c r="J713" s="6" t="str">
        <f aca="false">IF(F713="","",IF(AND(F713&gt;=4,G713&gt;=4,H713&gt;=4,I713&gt;=4),"Proficient",IF(AND(F713&lt;=2,G713&lt;=2,H713&lt;=2,I713&lt;=2),"Emerging","Progressing")))</f>
        <v/>
      </c>
      <c r="K713" s="6" t="str">
        <f aca="false">IF(F713="","",IF(J713="Proficient","Yes","No"))</f>
        <v/>
      </c>
      <c r="L713" s="6" t="str">
        <f aca="false">IF(F713="","",INDEX({"Listening","Speaking","Reading","Writing"},MATCH(MIN(F713:I713),F713:I713,0)))</f>
        <v/>
      </c>
      <c r="M713" s="17"/>
      <c r="N713" s="6" t="str">
        <f aca="false">IF(OR(F713="",M713=""),"",ROUND(AVERAGE(F713:I713)-M713,1))</f>
        <v/>
      </c>
      <c r="O713" s="17"/>
      <c r="P713" s="17"/>
      <c r="Q713" s="17"/>
    </row>
    <row r="714" customFormat="false" ht="15" hidden="false" customHeight="true" outlineLevel="0" collapsed="false">
      <c r="A714" s="17"/>
      <c r="B714" s="17"/>
      <c r="C714" s="17"/>
      <c r="D714" s="17"/>
      <c r="E714" s="17"/>
      <c r="F714" s="17"/>
      <c r="G714" s="17"/>
      <c r="H714" s="17"/>
      <c r="I714" s="17"/>
      <c r="J714" s="6" t="str">
        <f aca="false">IF(F714="","",IF(AND(F714&gt;=4,G714&gt;=4,H714&gt;=4,I714&gt;=4),"Proficient",IF(AND(F714&lt;=2,G714&lt;=2,H714&lt;=2,I714&lt;=2),"Emerging","Progressing")))</f>
        <v/>
      </c>
      <c r="K714" s="6" t="str">
        <f aca="false">IF(F714="","",IF(J714="Proficient","Yes","No"))</f>
        <v/>
      </c>
      <c r="L714" s="6" t="str">
        <f aca="false">IF(F714="","",INDEX({"Listening","Speaking","Reading","Writing"},MATCH(MIN(F714:I714),F714:I714,0)))</f>
        <v/>
      </c>
      <c r="M714" s="17"/>
      <c r="N714" s="6" t="str">
        <f aca="false">IF(OR(F714="",M714=""),"",ROUND(AVERAGE(F714:I714)-M714,1))</f>
        <v/>
      </c>
      <c r="O714" s="17"/>
      <c r="P714" s="17"/>
      <c r="Q714" s="17"/>
    </row>
    <row r="715" customFormat="false" ht="15" hidden="false" customHeight="true" outlineLevel="0" collapsed="false">
      <c r="A715" s="17"/>
      <c r="B715" s="17"/>
      <c r="C715" s="17"/>
      <c r="D715" s="17"/>
      <c r="E715" s="17"/>
      <c r="F715" s="17"/>
      <c r="G715" s="17"/>
      <c r="H715" s="17"/>
      <c r="I715" s="17"/>
      <c r="J715" s="6" t="str">
        <f aca="false">IF(F715="","",IF(AND(F715&gt;=4,G715&gt;=4,H715&gt;=4,I715&gt;=4),"Proficient",IF(AND(F715&lt;=2,G715&lt;=2,H715&lt;=2,I715&lt;=2),"Emerging","Progressing")))</f>
        <v/>
      </c>
      <c r="K715" s="6" t="str">
        <f aca="false">IF(F715="","",IF(J715="Proficient","Yes","No"))</f>
        <v/>
      </c>
      <c r="L715" s="6" t="str">
        <f aca="false">IF(F715="","",INDEX({"Listening","Speaking","Reading","Writing"},MATCH(MIN(F715:I715),F715:I715,0)))</f>
        <v/>
      </c>
      <c r="M715" s="17"/>
      <c r="N715" s="6" t="str">
        <f aca="false">IF(OR(F715="",M715=""),"",ROUND(AVERAGE(F715:I715)-M715,1))</f>
        <v/>
      </c>
      <c r="O715" s="17"/>
      <c r="P715" s="17"/>
      <c r="Q715" s="17"/>
    </row>
    <row r="716" customFormat="false" ht="15" hidden="false" customHeight="true" outlineLevel="0" collapsed="false">
      <c r="A716" s="17"/>
      <c r="B716" s="17"/>
      <c r="C716" s="17"/>
      <c r="D716" s="17"/>
      <c r="E716" s="17"/>
      <c r="F716" s="17"/>
      <c r="G716" s="17"/>
      <c r="H716" s="17"/>
      <c r="I716" s="17"/>
      <c r="J716" s="6" t="str">
        <f aca="false">IF(F716="","",IF(AND(F716&gt;=4,G716&gt;=4,H716&gt;=4,I716&gt;=4),"Proficient",IF(AND(F716&lt;=2,G716&lt;=2,H716&lt;=2,I716&lt;=2),"Emerging","Progressing")))</f>
        <v/>
      </c>
      <c r="K716" s="6" t="str">
        <f aca="false">IF(F716="","",IF(J716="Proficient","Yes","No"))</f>
        <v/>
      </c>
      <c r="L716" s="6" t="str">
        <f aca="false">IF(F716="","",INDEX({"Listening","Speaking","Reading","Writing"},MATCH(MIN(F716:I716),F716:I716,0)))</f>
        <v/>
      </c>
      <c r="M716" s="17"/>
      <c r="N716" s="6" t="str">
        <f aca="false">IF(OR(F716="",M716=""),"",ROUND(AVERAGE(F716:I716)-M716,1))</f>
        <v/>
      </c>
      <c r="O716" s="17"/>
      <c r="P716" s="17"/>
      <c r="Q716" s="17"/>
    </row>
    <row r="717" customFormat="false" ht="15" hidden="false" customHeight="true" outlineLevel="0" collapsed="false">
      <c r="A717" s="17"/>
      <c r="B717" s="17"/>
      <c r="C717" s="17"/>
      <c r="D717" s="17"/>
      <c r="E717" s="17"/>
      <c r="F717" s="17"/>
      <c r="G717" s="17"/>
      <c r="H717" s="17"/>
      <c r="I717" s="17"/>
      <c r="J717" s="6" t="str">
        <f aca="false">IF(F717="","",IF(AND(F717&gt;=4,G717&gt;=4,H717&gt;=4,I717&gt;=4),"Proficient",IF(AND(F717&lt;=2,G717&lt;=2,H717&lt;=2,I717&lt;=2),"Emerging","Progressing")))</f>
        <v/>
      </c>
      <c r="K717" s="6" t="str">
        <f aca="false">IF(F717="","",IF(J717="Proficient","Yes","No"))</f>
        <v/>
      </c>
      <c r="L717" s="6" t="str">
        <f aca="false">IF(F717="","",INDEX({"Listening","Speaking","Reading","Writing"},MATCH(MIN(F717:I717),F717:I717,0)))</f>
        <v/>
      </c>
      <c r="M717" s="17"/>
      <c r="N717" s="6" t="str">
        <f aca="false">IF(OR(F717="",M717=""),"",ROUND(AVERAGE(F717:I717)-M717,1))</f>
        <v/>
      </c>
      <c r="O717" s="17"/>
      <c r="P717" s="17"/>
      <c r="Q717" s="17"/>
    </row>
    <row r="718" customFormat="false" ht="15" hidden="false" customHeight="true" outlineLevel="0" collapsed="false">
      <c r="A718" s="17"/>
      <c r="B718" s="17"/>
      <c r="C718" s="17"/>
      <c r="D718" s="17"/>
      <c r="E718" s="17"/>
      <c r="F718" s="17"/>
      <c r="G718" s="17"/>
      <c r="H718" s="17"/>
      <c r="I718" s="17"/>
      <c r="J718" s="6" t="str">
        <f aca="false">IF(F718="","",IF(AND(F718&gt;=4,G718&gt;=4,H718&gt;=4,I718&gt;=4),"Proficient",IF(AND(F718&lt;=2,G718&lt;=2,H718&lt;=2,I718&lt;=2),"Emerging","Progressing")))</f>
        <v/>
      </c>
      <c r="K718" s="6" t="str">
        <f aca="false">IF(F718="","",IF(J718="Proficient","Yes","No"))</f>
        <v/>
      </c>
      <c r="L718" s="6" t="str">
        <f aca="false">IF(F718="","",INDEX({"Listening","Speaking","Reading","Writing"},MATCH(MIN(F718:I718),F718:I718,0)))</f>
        <v/>
      </c>
      <c r="M718" s="17"/>
      <c r="N718" s="6" t="str">
        <f aca="false">IF(OR(F718="",M718=""),"",ROUND(AVERAGE(F718:I718)-M718,1))</f>
        <v/>
      </c>
      <c r="O718" s="17"/>
      <c r="P718" s="17"/>
      <c r="Q718" s="17"/>
    </row>
    <row r="719" customFormat="false" ht="15" hidden="false" customHeight="true" outlineLevel="0" collapsed="false">
      <c r="A719" s="17"/>
      <c r="B719" s="17"/>
      <c r="C719" s="17"/>
      <c r="D719" s="17"/>
      <c r="E719" s="17"/>
      <c r="F719" s="17"/>
      <c r="G719" s="17"/>
      <c r="H719" s="17"/>
      <c r="I719" s="17"/>
      <c r="J719" s="6" t="str">
        <f aca="false">IF(F719="","",IF(AND(F719&gt;=4,G719&gt;=4,H719&gt;=4,I719&gt;=4),"Proficient",IF(AND(F719&lt;=2,G719&lt;=2,H719&lt;=2,I719&lt;=2),"Emerging","Progressing")))</f>
        <v/>
      </c>
      <c r="K719" s="6" t="str">
        <f aca="false">IF(F719="","",IF(J719="Proficient","Yes","No"))</f>
        <v/>
      </c>
      <c r="L719" s="6" t="str">
        <f aca="false">IF(F719="","",INDEX({"Listening","Speaking","Reading","Writing"},MATCH(MIN(F719:I719),F719:I719,0)))</f>
        <v/>
      </c>
      <c r="M719" s="17"/>
      <c r="N719" s="6" t="str">
        <f aca="false">IF(OR(F719="",M719=""),"",ROUND(AVERAGE(F719:I719)-M719,1))</f>
        <v/>
      </c>
      <c r="O719" s="17"/>
      <c r="P719" s="17"/>
      <c r="Q719" s="17"/>
    </row>
    <row r="720" customFormat="false" ht="15" hidden="false" customHeight="true" outlineLevel="0" collapsed="false">
      <c r="A720" s="17"/>
      <c r="B720" s="17"/>
      <c r="C720" s="17"/>
      <c r="D720" s="17"/>
      <c r="E720" s="17"/>
      <c r="F720" s="17"/>
      <c r="G720" s="17"/>
      <c r="H720" s="17"/>
      <c r="I720" s="17"/>
      <c r="J720" s="6" t="str">
        <f aca="false">IF(F720="","",IF(AND(F720&gt;=4,G720&gt;=4,H720&gt;=4,I720&gt;=4),"Proficient",IF(AND(F720&lt;=2,G720&lt;=2,H720&lt;=2,I720&lt;=2),"Emerging","Progressing")))</f>
        <v/>
      </c>
      <c r="K720" s="6" t="str">
        <f aca="false">IF(F720="","",IF(J720="Proficient","Yes","No"))</f>
        <v/>
      </c>
      <c r="L720" s="6" t="str">
        <f aca="false">IF(F720="","",INDEX({"Listening","Speaking","Reading","Writing"},MATCH(MIN(F720:I720),F720:I720,0)))</f>
        <v/>
      </c>
      <c r="M720" s="17"/>
      <c r="N720" s="6" t="str">
        <f aca="false">IF(OR(F720="",M720=""),"",ROUND(AVERAGE(F720:I720)-M720,1))</f>
        <v/>
      </c>
      <c r="O720" s="17"/>
      <c r="P720" s="17"/>
      <c r="Q720" s="17"/>
    </row>
    <row r="721" customFormat="false" ht="15" hidden="false" customHeight="true" outlineLevel="0" collapsed="false">
      <c r="A721" s="17"/>
      <c r="B721" s="17"/>
      <c r="C721" s="17"/>
      <c r="D721" s="17"/>
      <c r="E721" s="17"/>
      <c r="F721" s="17"/>
      <c r="G721" s="17"/>
      <c r="H721" s="17"/>
      <c r="I721" s="17"/>
      <c r="J721" s="6" t="str">
        <f aca="false">IF(F721="","",IF(AND(F721&gt;=4,G721&gt;=4,H721&gt;=4,I721&gt;=4),"Proficient",IF(AND(F721&lt;=2,G721&lt;=2,H721&lt;=2,I721&lt;=2),"Emerging","Progressing")))</f>
        <v/>
      </c>
      <c r="K721" s="6" t="str">
        <f aca="false">IF(F721="","",IF(J721="Proficient","Yes","No"))</f>
        <v/>
      </c>
      <c r="L721" s="6" t="str">
        <f aca="false">IF(F721="","",INDEX({"Listening","Speaking","Reading","Writing"},MATCH(MIN(F721:I721),F721:I721,0)))</f>
        <v/>
      </c>
      <c r="M721" s="17"/>
      <c r="N721" s="6" t="str">
        <f aca="false">IF(OR(F721="",M721=""),"",ROUND(AVERAGE(F721:I721)-M721,1))</f>
        <v/>
      </c>
      <c r="O721" s="17"/>
      <c r="P721" s="17"/>
      <c r="Q721" s="17"/>
    </row>
    <row r="722" customFormat="false" ht="15" hidden="false" customHeight="true" outlineLevel="0" collapsed="false">
      <c r="A722" s="17"/>
      <c r="B722" s="17"/>
      <c r="C722" s="17"/>
      <c r="D722" s="17"/>
      <c r="E722" s="17"/>
      <c r="F722" s="17"/>
      <c r="G722" s="17"/>
      <c r="H722" s="17"/>
      <c r="I722" s="17"/>
      <c r="J722" s="6" t="str">
        <f aca="false">IF(F722="","",IF(AND(F722&gt;=4,G722&gt;=4,H722&gt;=4,I722&gt;=4),"Proficient",IF(AND(F722&lt;=2,G722&lt;=2,H722&lt;=2,I722&lt;=2),"Emerging","Progressing")))</f>
        <v/>
      </c>
      <c r="K722" s="6" t="str">
        <f aca="false">IF(F722="","",IF(J722="Proficient","Yes","No"))</f>
        <v/>
      </c>
      <c r="L722" s="6" t="str">
        <f aca="false">IF(F722="","",INDEX({"Listening","Speaking","Reading","Writing"},MATCH(MIN(F722:I722),F722:I722,0)))</f>
        <v/>
      </c>
      <c r="M722" s="17"/>
      <c r="N722" s="6" t="str">
        <f aca="false">IF(OR(F722="",M722=""),"",ROUND(AVERAGE(F722:I722)-M722,1))</f>
        <v/>
      </c>
      <c r="O722" s="17"/>
      <c r="P722" s="17"/>
      <c r="Q722" s="17"/>
    </row>
    <row r="723" customFormat="false" ht="15" hidden="false" customHeight="true" outlineLevel="0" collapsed="false">
      <c r="A723" s="17"/>
      <c r="B723" s="17"/>
      <c r="C723" s="17"/>
      <c r="D723" s="17"/>
      <c r="E723" s="17"/>
      <c r="F723" s="17"/>
      <c r="G723" s="17"/>
      <c r="H723" s="17"/>
      <c r="I723" s="17"/>
      <c r="J723" s="6" t="str">
        <f aca="false">IF(F723="","",IF(AND(F723&gt;=4,G723&gt;=4,H723&gt;=4,I723&gt;=4),"Proficient",IF(AND(F723&lt;=2,G723&lt;=2,H723&lt;=2,I723&lt;=2),"Emerging","Progressing")))</f>
        <v/>
      </c>
      <c r="K723" s="6" t="str">
        <f aca="false">IF(F723="","",IF(J723="Proficient","Yes","No"))</f>
        <v/>
      </c>
      <c r="L723" s="6" t="str">
        <f aca="false">IF(F723="","",INDEX({"Listening","Speaking","Reading","Writing"},MATCH(MIN(F723:I723),F723:I723,0)))</f>
        <v/>
      </c>
      <c r="M723" s="17"/>
      <c r="N723" s="6" t="str">
        <f aca="false">IF(OR(F723="",M723=""),"",ROUND(AVERAGE(F723:I723)-M723,1))</f>
        <v/>
      </c>
      <c r="O723" s="17"/>
      <c r="P723" s="17"/>
      <c r="Q723" s="17"/>
    </row>
    <row r="724" customFormat="false" ht="15" hidden="false" customHeight="true" outlineLevel="0" collapsed="false">
      <c r="A724" s="17"/>
      <c r="B724" s="17"/>
      <c r="C724" s="17"/>
      <c r="D724" s="17"/>
      <c r="E724" s="17"/>
      <c r="F724" s="17"/>
      <c r="G724" s="17"/>
      <c r="H724" s="17"/>
      <c r="I724" s="17"/>
      <c r="J724" s="6" t="str">
        <f aca="false">IF(F724="","",IF(AND(F724&gt;=4,G724&gt;=4,H724&gt;=4,I724&gt;=4),"Proficient",IF(AND(F724&lt;=2,G724&lt;=2,H724&lt;=2,I724&lt;=2),"Emerging","Progressing")))</f>
        <v/>
      </c>
      <c r="K724" s="6" t="str">
        <f aca="false">IF(F724="","",IF(J724="Proficient","Yes","No"))</f>
        <v/>
      </c>
      <c r="L724" s="6" t="str">
        <f aca="false">IF(F724="","",INDEX({"Listening","Speaking","Reading","Writing"},MATCH(MIN(F724:I724),F724:I724,0)))</f>
        <v/>
      </c>
      <c r="M724" s="17"/>
      <c r="N724" s="6" t="str">
        <f aca="false">IF(OR(F724="",M724=""),"",ROUND(AVERAGE(F724:I724)-M724,1))</f>
        <v/>
      </c>
      <c r="O724" s="17"/>
      <c r="P724" s="17"/>
      <c r="Q724" s="17"/>
    </row>
    <row r="725" customFormat="false" ht="15" hidden="false" customHeight="true" outlineLevel="0" collapsed="false">
      <c r="A725" s="17"/>
      <c r="B725" s="17"/>
      <c r="C725" s="17"/>
      <c r="D725" s="17"/>
      <c r="E725" s="17"/>
      <c r="F725" s="17"/>
      <c r="G725" s="17"/>
      <c r="H725" s="17"/>
      <c r="I725" s="17"/>
      <c r="J725" s="6" t="str">
        <f aca="false">IF(F725="","",IF(AND(F725&gt;=4,G725&gt;=4,H725&gt;=4,I725&gt;=4),"Proficient",IF(AND(F725&lt;=2,G725&lt;=2,H725&lt;=2,I725&lt;=2),"Emerging","Progressing")))</f>
        <v/>
      </c>
      <c r="K725" s="6" t="str">
        <f aca="false">IF(F725="","",IF(J725="Proficient","Yes","No"))</f>
        <v/>
      </c>
      <c r="L725" s="6" t="str">
        <f aca="false">IF(F725="","",INDEX({"Listening","Speaking","Reading","Writing"},MATCH(MIN(F725:I725),F725:I725,0)))</f>
        <v/>
      </c>
      <c r="M725" s="17"/>
      <c r="N725" s="6" t="str">
        <f aca="false">IF(OR(F725="",M725=""),"",ROUND(AVERAGE(F725:I725)-M725,1))</f>
        <v/>
      </c>
      <c r="O725" s="17"/>
      <c r="P725" s="17"/>
      <c r="Q725" s="17"/>
    </row>
    <row r="726" customFormat="false" ht="15" hidden="false" customHeight="true" outlineLevel="0" collapsed="false">
      <c r="A726" s="17"/>
      <c r="B726" s="17"/>
      <c r="C726" s="17"/>
      <c r="D726" s="17"/>
      <c r="E726" s="17"/>
      <c r="F726" s="17"/>
      <c r="G726" s="17"/>
      <c r="H726" s="17"/>
      <c r="I726" s="17"/>
      <c r="J726" s="6" t="str">
        <f aca="false">IF(F726="","",IF(AND(F726&gt;=4,G726&gt;=4,H726&gt;=4,I726&gt;=4),"Proficient",IF(AND(F726&lt;=2,G726&lt;=2,H726&lt;=2,I726&lt;=2),"Emerging","Progressing")))</f>
        <v/>
      </c>
      <c r="K726" s="6" t="str">
        <f aca="false">IF(F726="","",IF(J726="Proficient","Yes","No"))</f>
        <v/>
      </c>
      <c r="L726" s="6" t="str">
        <f aca="false">IF(F726="","",INDEX({"Listening","Speaking","Reading","Writing"},MATCH(MIN(F726:I726),F726:I726,0)))</f>
        <v/>
      </c>
      <c r="M726" s="17"/>
      <c r="N726" s="6" t="str">
        <f aca="false">IF(OR(F726="",M726=""),"",ROUND(AVERAGE(F726:I726)-M726,1))</f>
        <v/>
      </c>
      <c r="O726" s="17"/>
      <c r="P726" s="17"/>
      <c r="Q726" s="17"/>
    </row>
    <row r="727" customFormat="false" ht="15" hidden="false" customHeight="true" outlineLevel="0" collapsed="false">
      <c r="A727" s="17"/>
      <c r="B727" s="17"/>
      <c r="C727" s="17"/>
      <c r="D727" s="17"/>
      <c r="E727" s="17"/>
      <c r="F727" s="17"/>
      <c r="G727" s="17"/>
      <c r="H727" s="17"/>
      <c r="I727" s="17"/>
      <c r="J727" s="6" t="str">
        <f aca="false">IF(F727="","",IF(AND(F727&gt;=4,G727&gt;=4,H727&gt;=4,I727&gt;=4),"Proficient",IF(AND(F727&lt;=2,G727&lt;=2,H727&lt;=2,I727&lt;=2),"Emerging","Progressing")))</f>
        <v/>
      </c>
      <c r="K727" s="6" t="str">
        <f aca="false">IF(F727="","",IF(J727="Proficient","Yes","No"))</f>
        <v/>
      </c>
      <c r="L727" s="6" t="str">
        <f aca="false">IF(F727="","",INDEX({"Listening","Speaking","Reading","Writing"},MATCH(MIN(F727:I727),F727:I727,0)))</f>
        <v/>
      </c>
      <c r="M727" s="17"/>
      <c r="N727" s="6" t="str">
        <f aca="false">IF(OR(F727="",M727=""),"",ROUND(AVERAGE(F727:I727)-M727,1))</f>
        <v/>
      </c>
      <c r="O727" s="17"/>
      <c r="P727" s="17"/>
      <c r="Q727" s="17"/>
    </row>
    <row r="728" customFormat="false" ht="15" hidden="false" customHeight="true" outlineLevel="0" collapsed="false">
      <c r="A728" s="17"/>
      <c r="B728" s="17"/>
      <c r="C728" s="17"/>
      <c r="D728" s="17"/>
      <c r="E728" s="17"/>
      <c r="F728" s="17"/>
      <c r="G728" s="17"/>
      <c r="H728" s="17"/>
      <c r="I728" s="17"/>
      <c r="J728" s="6" t="str">
        <f aca="false">IF(F728="","",IF(AND(F728&gt;=4,G728&gt;=4,H728&gt;=4,I728&gt;=4),"Proficient",IF(AND(F728&lt;=2,G728&lt;=2,H728&lt;=2,I728&lt;=2),"Emerging","Progressing")))</f>
        <v/>
      </c>
      <c r="K728" s="6" t="str">
        <f aca="false">IF(F728="","",IF(J728="Proficient","Yes","No"))</f>
        <v/>
      </c>
      <c r="L728" s="6" t="str">
        <f aca="false">IF(F728="","",INDEX({"Listening","Speaking","Reading","Writing"},MATCH(MIN(F728:I728),F728:I728,0)))</f>
        <v/>
      </c>
      <c r="M728" s="17"/>
      <c r="N728" s="6" t="str">
        <f aca="false">IF(OR(F728="",M728=""),"",ROUND(AVERAGE(F728:I728)-M728,1))</f>
        <v/>
      </c>
      <c r="O728" s="17"/>
      <c r="P728" s="17"/>
      <c r="Q728" s="17"/>
    </row>
    <row r="729" customFormat="false" ht="15" hidden="false" customHeight="true" outlineLevel="0" collapsed="false">
      <c r="A729" s="17"/>
      <c r="B729" s="17"/>
      <c r="C729" s="17"/>
      <c r="D729" s="17"/>
      <c r="E729" s="17"/>
      <c r="F729" s="17"/>
      <c r="G729" s="17"/>
      <c r="H729" s="17"/>
      <c r="I729" s="17"/>
      <c r="J729" s="6" t="str">
        <f aca="false">IF(F729="","",IF(AND(F729&gt;=4,G729&gt;=4,H729&gt;=4,I729&gt;=4),"Proficient",IF(AND(F729&lt;=2,G729&lt;=2,H729&lt;=2,I729&lt;=2),"Emerging","Progressing")))</f>
        <v/>
      </c>
      <c r="K729" s="6" t="str">
        <f aca="false">IF(F729="","",IF(J729="Proficient","Yes","No"))</f>
        <v/>
      </c>
      <c r="L729" s="6" t="str">
        <f aca="false">IF(F729="","",INDEX({"Listening","Speaking","Reading","Writing"},MATCH(MIN(F729:I729),F729:I729,0)))</f>
        <v/>
      </c>
      <c r="M729" s="17"/>
      <c r="N729" s="6" t="str">
        <f aca="false">IF(OR(F729="",M729=""),"",ROUND(AVERAGE(F729:I729)-M729,1))</f>
        <v/>
      </c>
      <c r="O729" s="17"/>
      <c r="P729" s="17"/>
      <c r="Q729" s="17"/>
    </row>
    <row r="730" customFormat="false" ht="15" hidden="false" customHeight="true" outlineLevel="0" collapsed="false">
      <c r="A730" s="17"/>
      <c r="B730" s="17"/>
      <c r="C730" s="17"/>
      <c r="D730" s="17"/>
      <c r="E730" s="17"/>
      <c r="F730" s="17"/>
      <c r="G730" s="17"/>
      <c r="H730" s="17"/>
      <c r="I730" s="17"/>
      <c r="J730" s="6" t="str">
        <f aca="false">IF(F730="","",IF(AND(F730&gt;=4,G730&gt;=4,H730&gt;=4,I730&gt;=4),"Proficient",IF(AND(F730&lt;=2,G730&lt;=2,H730&lt;=2,I730&lt;=2),"Emerging","Progressing")))</f>
        <v/>
      </c>
      <c r="K730" s="6" t="str">
        <f aca="false">IF(F730="","",IF(J730="Proficient","Yes","No"))</f>
        <v/>
      </c>
      <c r="L730" s="6" t="str">
        <f aca="false">IF(F730="","",INDEX({"Listening","Speaking","Reading","Writing"},MATCH(MIN(F730:I730),F730:I730,0)))</f>
        <v/>
      </c>
      <c r="M730" s="17"/>
      <c r="N730" s="6" t="str">
        <f aca="false">IF(OR(F730="",M730=""),"",ROUND(AVERAGE(F730:I730)-M730,1))</f>
        <v/>
      </c>
      <c r="O730" s="17"/>
      <c r="P730" s="17"/>
      <c r="Q730" s="17"/>
    </row>
    <row r="731" customFormat="false" ht="15" hidden="false" customHeight="true" outlineLevel="0" collapsed="false">
      <c r="A731" s="17"/>
      <c r="B731" s="17"/>
      <c r="C731" s="17"/>
      <c r="D731" s="17"/>
      <c r="E731" s="17"/>
      <c r="F731" s="17"/>
      <c r="G731" s="17"/>
      <c r="H731" s="17"/>
      <c r="I731" s="17"/>
      <c r="J731" s="6" t="str">
        <f aca="false">IF(F731="","",IF(AND(F731&gt;=4,G731&gt;=4,H731&gt;=4,I731&gt;=4),"Proficient",IF(AND(F731&lt;=2,G731&lt;=2,H731&lt;=2,I731&lt;=2),"Emerging","Progressing")))</f>
        <v/>
      </c>
      <c r="K731" s="6" t="str">
        <f aca="false">IF(F731="","",IF(J731="Proficient","Yes","No"))</f>
        <v/>
      </c>
      <c r="L731" s="6" t="str">
        <f aca="false">IF(F731="","",INDEX({"Listening","Speaking","Reading","Writing"},MATCH(MIN(F731:I731),F731:I731,0)))</f>
        <v/>
      </c>
      <c r="M731" s="17"/>
      <c r="N731" s="6" t="str">
        <f aca="false">IF(OR(F731="",M731=""),"",ROUND(AVERAGE(F731:I731)-M731,1))</f>
        <v/>
      </c>
      <c r="O731" s="17"/>
      <c r="P731" s="17"/>
      <c r="Q731" s="17"/>
    </row>
    <row r="732" customFormat="false" ht="15" hidden="false" customHeight="true" outlineLevel="0" collapsed="false">
      <c r="A732" s="17"/>
      <c r="B732" s="17"/>
      <c r="C732" s="17"/>
      <c r="D732" s="17"/>
      <c r="E732" s="17"/>
      <c r="F732" s="17"/>
      <c r="G732" s="17"/>
      <c r="H732" s="17"/>
      <c r="I732" s="17"/>
      <c r="J732" s="6" t="str">
        <f aca="false">IF(F732="","",IF(AND(F732&gt;=4,G732&gt;=4,H732&gt;=4,I732&gt;=4),"Proficient",IF(AND(F732&lt;=2,G732&lt;=2,H732&lt;=2,I732&lt;=2),"Emerging","Progressing")))</f>
        <v/>
      </c>
      <c r="K732" s="6" t="str">
        <f aca="false">IF(F732="","",IF(J732="Proficient","Yes","No"))</f>
        <v/>
      </c>
      <c r="L732" s="6" t="str">
        <f aca="false">IF(F732="","",INDEX({"Listening","Speaking","Reading","Writing"},MATCH(MIN(F732:I732),F732:I732,0)))</f>
        <v/>
      </c>
      <c r="M732" s="17"/>
      <c r="N732" s="6" t="str">
        <f aca="false">IF(OR(F732="",M732=""),"",ROUND(AVERAGE(F732:I732)-M732,1))</f>
        <v/>
      </c>
      <c r="O732" s="17"/>
      <c r="P732" s="17"/>
      <c r="Q732" s="17"/>
    </row>
    <row r="733" customFormat="false" ht="15" hidden="false" customHeight="true" outlineLevel="0" collapsed="false">
      <c r="A733" s="17"/>
      <c r="B733" s="17"/>
      <c r="C733" s="17"/>
      <c r="D733" s="17"/>
      <c r="E733" s="17"/>
      <c r="F733" s="17"/>
      <c r="G733" s="17"/>
      <c r="H733" s="17"/>
      <c r="I733" s="17"/>
      <c r="J733" s="6" t="str">
        <f aca="false">IF(F733="","",IF(AND(F733&gt;=4,G733&gt;=4,H733&gt;=4,I733&gt;=4),"Proficient",IF(AND(F733&lt;=2,G733&lt;=2,H733&lt;=2,I733&lt;=2),"Emerging","Progressing")))</f>
        <v/>
      </c>
      <c r="K733" s="6" t="str">
        <f aca="false">IF(F733="","",IF(J733="Proficient","Yes","No"))</f>
        <v/>
      </c>
      <c r="L733" s="6" t="str">
        <f aca="false">IF(F733="","",INDEX({"Listening","Speaking","Reading","Writing"},MATCH(MIN(F733:I733),F733:I733,0)))</f>
        <v/>
      </c>
      <c r="M733" s="17"/>
      <c r="N733" s="6" t="str">
        <f aca="false">IF(OR(F733="",M733=""),"",ROUND(AVERAGE(F733:I733)-M733,1))</f>
        <v/>
      </c>
      <c r="O733" s="17"/>
      <c r="P733" s="17"/>
      <c r="Q733" s="17"/>
    </row>
    <row r="734" customFormat="false" ht="15" hidden="false" customHeight="true" outlineLevel="0" collapsed="false">
      <c r="A734" s="17"/>
      <c r="B734" s="17"/>
      <c r="C734" s="17"/>
      <c r="D734" s="17"/>
      <c r="E734" s="17"/>
      <c r="F734" s="17"/>
      <c r="G734" s="17"/>
      <c r="H734" s="17"/>
      <c r="I734" s="17"/>
      <c r="J734" s="6" t="str">
        <f aca="false">IF(F734="","",IF(AND(F734&gt;=4,G734&gt;=4,H734&gt;=4,I734&gt;=4),"Proficient",IF(AND(F734&lt;=2,G734&lt;=2,H734&lt;=2,I734&lt;=2),"Emerging","Progressing")))</f>
        <v/>
      </c>
      <c r="K734" s="6" t="str">
        <f aca="false">IF(F734="","",IF(J734="Proficient","Yes","No"))</f>
        <v/>
      </c>
      <c r="L734" s="6" t="str">
        <f aca="false">IF(F734="","",INDEX({"Listening","Speaking","Reading","Writing"},MATCH(MIN(F734:I734),F734:I734,0)))</f>
        <v/>
      </c>
      <c r="M734" s="17"/>
      <c r="N734" s="6" t="str">
        <f aca="false">IF(OR(F734="",M734=""),"",ROUND(AVERAGE(F734:I734)-M734,1))</f>
        <v/>
      </c>
      <c r="O734" s="17"/>
      <c r="P734" s="17"/>
      <c r="Q734" s="17"/>
    </row>
    <row r="735" customFormat="false" ht="15" hidden="false" customHeight="true" outlineLevel="0" collapsed="false">
      <c r="A735" s="17"/>
      <c r="B735" s="17"/>
      <c r="C735" s="17"/>
      <c r="D735" s="17"/>
      <c r="E735" s="17"/>
      <c r="F735" s="17"/>
      <c r="G735" s="17"/>
      <c r="H735" s="17"/>
      <c r="I735" s="17"/>
      <c r="J735" s="6" t="str">
        <f aca="false">IF(F735="","",IF(AND(F735&gt;=4,G735&gt;=4,H735&gt;=4,I735&gt;=4),"Proficient",IF(AND(F735&lt;=2,G735&lt;=2,H735&lt;=2,I735&lt;=2),"Emerging","Progressing")))</f>
        <v/>
      </c>
      <c r="K735" s="6" t="str">
        <f aca="false">IF(F735="","",IF(J735="Proficient","Yes","No"))</f>
        <v/>
      </c>
      <c r="L735" s="6" t="str">
        <f aca="false">IF(F735="","",INDEX({"Listening","Speaking","Reading","Writing"},MATCH(MIN(F735:I735),F735:I735,0)))</f>
        <v/>
      </c>
      <c r="M735" s="17"/>
      <c r="N735" s="6" t="str">
        <f aca="false">IF(OR(F735="",M735=""),"",ROUND(AVERAGE(F735:I735)-M735,1))</f>
        <v/>
      </c>
      <c r="O735" s="17"/>
      <c r="P735" s="17"/>
      <c r="Q735" s="17"/>
    </row>
    <row r="736" customFormat="false" ht="15" hidden="false" customHeight="true" outlineLevel="0" collapsed="false">
      <c r="A736" s="17"/>
      <c r="B736" s="17"/>
      <c r="C736" s="17"/>
      <c r="D736" s="17"/>
      <c r="E736" s="17"/>
      <c r="F736" s="17"/>
      <c r="G736" s="17"/>
      <c r="H736" s="17"/>
      <c r="I736" s="17"/>
      <c r="J736" s="6" t="str">
        <f aca="false">IF(F736="","",IF(AND(F736&gt;=4,G736&gt;=4,H736&gt;=4,I736&gt;=4),"Proficient",IF(AND(F736&lt;=2,G736&lt;=2,H736&lt;=2,I736&lt;=2),"Emerging","Progressing")))</f>
        <v/>
      </c>
      <c r="K736" s="6" t="str">
        <f aca="false">IF(F736="","",IF(J736="Proficient","Yes","No"))</f>
        <v/>
      </c>
      <c r="L736" s="6" t="str">
        <f aca="false">IF(F736="","",INDEX({"Listening","Speaking","Reading","Writing"},MATCH(MIN(F736:I736),F736:I736,0)))</f>
        <v/>
      </c>
      <c r="M736" s="17"/>
      <c r="N736" s="6" t="str">
        <f aca="false">IF(OR(F736="",M736=""),"",ROUND(AVERAGE(F736:I736)-M736,1))</f>
        <v/>
      </c>
      <c r="O736" s="17"/>
      <c r="P736" s="17"/>
      <c r="Q736" s="17"/>
    </row>
    <row r="737" customFormat="false" ht="15" hidden="false" customHeight="true" outlineLevel="0" collapsed="false">
      <c r="A737" s="17"/>
      <c r="B737" s="17"/>
      <c r="C737" s="17"/>
      <c r="D737" s="17"/>
      <c r="E737" s="17"/>
      <c r="F737" s="17"/>
      <c r="G737" s="17"/>
      <c r="H737" s="17"/>
      <c r="I737" s="17"/>
      <c r="J737" s="6" t="str">
        <f aca="false">IF(F737="","",IF(AND(F737&gt;=4,G737&gt;=4,H737&gt;=4,I737&gt;=4),"Proficient",IF(AND(F737&lt;=2,G737&lt;=2,H737&lt;=2,I737&lt;=2),"Emerging","Progressing")))</f>
        <v/>
      </c>
      <c r="K737" s="6" t="str">
        <f aca="false">IF(F737="","",IF(J737="Proficient","Yes","No"))</f>
        <v/>
      </c>
      <c r="L737" s="6" t="str">
        <f aca="false">IF(F737="","",INDEX({"Listening","Speaking","Reading","Writing"},MATCH(MIN(F737:I737),F737:I737,0)))</f>
        <v/>
      </c>
      <c r="M737" s="17"/>
      <c r="N737" s="6" t="str">
        <f aca="false">IF(OR(F737="",M737=""),"",ROUND(AVERAGE(F737:I737)-M737,1))</f>
        <v/>
      </c>
      <c r="O737" s="17"/>
      <c r="P737" s="17"/>
      <c r="Q737" s="17"/>
    </row>
    <row r="738" customFormat="false" ht="15" hidden="false" customHeight="true" outlineLevel="0" collapsed="false">
      <c r="A738" s="17"/>
      <c r="B738" s="17"/>
      <c r="C738" s="17"/>
      <c r="D738" s="17"/>
      <c r="E738" s="17"/>
      <c r="F738" s="17"/>
      <c r="G738" s="17"/>
      <c r="H738" s="17"/>
      <c r="I738" s="17"/>
      <c r="J738" s="6" t="str">
        <f aca="false">IF(F738="","",IF(AND(F738&gt;=4,G738&gt;=4,H738&gt;=4,I738&gt;=4),"Proficient",IF(AND(F738&lt;=2,G738&lt;=2,H738&lt;=2,I738&lt;=2),"Emerging","Progressing")))</f>
        <v/>
      </c>
      <c r="K738" s="6" t="str">
        <f aca="false">IF(F738="","",IF(J738="Proficient","Yes","No"))</f>
        <v/>
      </c>
      <c r="L738" s="6" t="str">
        <f aca="false">IF(F738="","",INDEX({"Listening","Speaking","Reading","Writing"},MATCH(MIN(F738:I738),F738:I738,0)))</f>
        <v/>
      </c>
      <c r="M738" s="17"/>
      <c r="N738" s="6" t="str">
        <f aca="false">IF(OR(F738="",M738=""),"",ROUND(AVERAGE(F738:I738)-M738,1))</f>
        <v/>
      </c>
      <c r="O738" s="17"/>
      <c r="P738" s="17"/>
      <c r="Q738" s="17"/>
    </row>
    <row r="739" customFormat="false" ht="15" hidden="false" customHeight="true" outlineLevel="0" collapsed="false">
      <c r="A739" s="17"/>
      <c r="B739" s="17"/>
      <c r="C739" s="17"/>
      <c r="D739" s="17"/>
      <c r="E739" s="17"/>
      <c r="F739" s="17"/>
      <c r="G739" s="17"/>
      <c r="H739" s="17"/>
      <c r="I739" s="17"/>
      <c r="J739" s="6" t="str">
        <f aca="false">IF(F739="","",IF(AND(F739&gt;=4,G739&gt;=4,H739&gt;=4,I739&gt;=4),"Proficient",IF(AND(F739&lt;=2,G739&lt;=2,H739&lt;=2,I739&lt;=2),"Emerging","Progressing")))</f>
        <v/>
      </c>
      <c r="K739" s="6" t="str">
        <f aca="false">IF(F739="","",IF(J739="Proficient","Yes","No"))</f>
        <v/>
      </c>
      <c r="L739" s="6" t="str">
        <f aca="false">IF(F739="","",INDEX({"Listening","Speaking","Reading","Writing"},MATCH(MIN(F739:I739),F739:I739,0)))</f>
        <v/>
      </c>
      <c r="M739" s="17"/>
      <c r="N739" s="6" t="str">
        <f aca="false">IF(OR(F739="",M739=""),"",ROUND(AVERAGE(F739:I739)-M739,1))</f>
        <v/>
      </c>
      <c r="O739" s="17"/>
      <c r="P739" s="17"/>
      <c r="Q739" s="17"/>
    </row>
    <row r="740" customFormat="false" ht="15" hidden="false" customHeight="true" outlineLevel="0" collapsed="false">
      <c r="A740" s="17"/>
      <c r="B740" s="17"/>
      <c r="C740" s="17"/>
      <c r="D740" s="17"/>
      <c r="E740" s="17"/>
      <c r="F740" s="17"/>
      <c r="G740" s="17"/>
      <c r="H740" s="17"/>
      <c r="I740" s="17"/>
      <c r="J740" s="6" t="str">
        <f aca="false">IF(F740="","",IF(AND(F740&gt;=4,G740&gt;=4,H740&gt;=4,I740&gt;=4),"Proficient",IF(AND(F740&lt;=2,G740&lt;=2,H740&lt;=2,I740&lt;=2),"Emerging","Progressing")))</f>
        <v/>
      </c>
      <c r="K740" s="6" t="str">
        <f aca="false">IF(F740="","",IF(J740="Proficient","Yes","No"))</f>
        <v/>
      </c>
      <c r="L740" s="6" t="str">
        <f aca="false">IF(F740="","",INDEX({"Listening","Speaking","Reading","Writing"},MATCH(MIN(F740:I740),F740:I740,0)))</f>
        <v/>
      </c>
      <c r="M740" s="17"/>
      <c r="N740" s="6" t="str">
        <f aca="false">IF(OR(F740="",M740=""),"",ROUND(AVERAGE(F740:I740)-M740,1))</f>
        <v/>
      </c>
      <c r="O740" s="17"/>
      <c r="P740" s="17"/>
      <c r="Q740" s="17"/>
    </row>
    <row r="741" customFormat="false" ht="15" hidden="false" customHeight="true" outlineLevel="0" collapsed="false">
      <c r="A741" s="17"/>
      <c r="B741" s="17"/>
      <c r="C741" s="17"/>
      <c r="D741" s="17"/>
      <c r="E741" s="17"/>
      <c r="F741" s="17"/>
      <c r="G741" s="17"/>
      <c r="H741" s="17"/>
      <c r="I741" s="17"/>
      <c r="J741" s="6" t="str">
        <f aca="false">IF(F741="","",IF(AND(F741&gt;=4,G741&gt;=4,H741&gt;=4,I741&gt;=4),"Proficient",IF(AND(F741&lt;=2,G741&lt;=2,H741&lt;=2,I741&lt;=2),"Emerging","Progressing")))</f>
        <v/>
      </c>
      <c r="K741" s="6" t="str">
        <f aca="false">IF(F741="","",IF(J741="Proficient","Yes","No"))</f>
        <v/>
      </c>
      <c r="L741" s="6" t="str">
        <f aca="false">IF(F741="","",INDEX({"Listening","Speaking","Reading","Writing"},MATCH(MIN(F741:I741),F741:I741,0)))</f>
        <v/>
      </c>
      <c r="M741" s="17"/>
      <c r="N741" s="6" t="str">
        <f aca="false">IF(OR(F741="",M741=""),"",ROUND(AVERAGE(F741:I741)-M741,1))</f>
        <v/>
      </c>
      <c r="O741" s="17"/>
      <c r="P741" s="17"/>
      <c r="Q741" s="17"/>
    </row>
    <row r="742" customFormat="false" ht="15" hidden="false" customHeight="true" outlineLevel="0" collapsed="false">
      <c r="A742" s="17"/>
      <c r="B742" s="17"/>
      <c r="C742" s="17"/>
      <c r="D742" s="17"/>
      <c r="E742" s="17"/>
      <c r="F742" s="17"/>
      <c r="G742" s="17"/>
      <c r="H742" s="17"/>
      <c r="I742" s="17"/>
      <c r="J742" s="6" t="str">
        <f aca="false">IF(F742="","",IF(AND(F742&gt;=4,G742&gt;=4,H742&gt;=4,I742&gt;=4),"Proficient",IF(AND(F742&lt;=2,G742&lt;=2,H742&lt;=2,I742&lt;=2),"Emerging","Progressing")))</f>
        <v/>
      </c>
      <c r="K742" s="6" t="str">
        <f aca="false">IF(F742="","",IF(J742="Proficient","Yes","No"))</f>
        <v/>
      </c>
      <c r="L742" s="6" t="str">
        <f aca="false">IF(F742="","",INDEX({"Listening","Speaking","Reading","Writing"},MATCH(MIN(F742:I742),F742:I742,0)))</f>
        <v/>
      </c>
      <c r="M742" s="17"/>
      <c r="N742" s="6" t="str">
        <f aca="false">IF(OR(F742="",M742=""),"",ROUND(AVERAGE(F742:I742)-M742,1))</f>
        <v/>
      </c>
      <c r="O742" s="17"/>
      <c r="P742" s="17"/>
      <c r="Q742" s="17"/>
    </row>
    <row r="743" customFormat="false" ht="15" hidden="false" customHeight="true" outlineLevel="0" collapsed="false">
      <c r="A743" s="17"/>
      <c r="B743" s="17"/>
      <c r="C743" s="17"/>
      <c r="D743" s="17"/>
      <c r="E743" s="17"/>
      <c r="F743" s="17"/>
      <c r="G743" s="17"/>
      <c r="H743" s="17"/>
      <c r="I743" s="17"/>
      <c r="J743" s="6" t="str">
        <f aca="false">IF(F743="","",IF(AND(F743&gt;=4,G743&gt;=4,H743&gt;=4,I743&gt;=4),"Proficient",IF(AND(F743&lt;=2,G743&lt;=2,H743&lt;=2,I743&lt;=2),"Emerging","Progressing")))</f>
        <v/>
      </c>
      <c r="K743" s="6" t="str">
        <f aca="false">IF(F743="","",IF(J743="Proficient","Yes","No"))</f>
        <v/>
      </c>
      <c r="L743" s="6" t="str">
        <f aca="false">IF(F743="","",INDEX({"Listening","Speaking","Reading","Writing"},MATCH(MIN(F743:I743),F743:I743,0)))</f>
        <v/>
      </c>
      <c r="M743" s="17"/>
      <c r="N743" s="6" t="str">
        <f aca="false">IF(OR(F743="",M743=""),"",ROUND(AVERAGE(F743:I743)-M743,1))</f>
        <v/>
      </c>
      <c r="O743" s="17"/>
      <c r="P743" s="17"/>
      <c r="Q743" s="17"/>
    </row>
    <row r="744" customFormat="false" ht="15" hidden="false" customHeight="true" outlineLevel="0" collapsed="false">
      <c r="A744" s="17"/>
      <c r="B744" s="17"/>
      <c r="C744" s="17"/>
      <c r="D744" s="17"/>
      <c r="E744" s="17"/>
      <c r="F744" s="17"/>
      <c r="G744" s="17"/>
      <c r="H744" s="17"/>
      <c r="I744" s="17"/>
      <c r="J744" s="6" t="str">
        <f aca="false">IF(F744="","",IF(AND(F744&gt;=4,G744&gt;=4,H744&gt;=4,I744&gt;=4),"Proficient",IF(AND(F744&lt;=2,G744&lt;=2,H744&lt;=2,I744&lt;=2),"Emerging","Progressing")))</f>
        <v/>
      </c>
      <c r="K744" s="6" t="str">
        <f aca="false">IF(F744="","",IF(J744="Proficient","Yes","No"))</f>
        <v/>
      </c>
      <c r="L744" s="6" t="str">
        <f aca="false">IF(F744="","",INDEX({"Listening","Speaking","Reading","Writing"},MATCH(MIN(F744:I744),F744:I744,0)))</f>
        <v/>
      </c>
      <c r="M744" s="17"/>
      <c r="N744" s="6" t="str">
        <f aca="false">IF(OR(F744="",M744=""),"",ROUND(AVERAGE(F744:I744)-M744,1))</f>
        <v/>
      </c>
      <c r="O744" s="17"/>
      <c r="P744" s="17"/>
      <c r="Q744" s="17"/>
    </row>
    <row r="745" customFormat="false" ht="15" hidden="false" customHeight="true" outlineLevel="0" collapsed="false">
      <c r="A745" s="17"/>
      <c r="B745" s="17"/>
      <c r="C745" s="17"/>
      <c r="D745" s="17"/>
      <c r="E745" s="17"/>
      <c r="F745" s="17"/>
      <c r="G745" s="17"/>
      <c r="H745" s="17"/>
      <c r="I745" s="17"/>
      <c r="J745" s="6" t="str">
        <f aca="false">IF(F745="","",IF(AND(F745&gt;=4,G745&gt;=4,H745&gt;=4,I745&gt;=4),"Proficient",IF(AND(F745&lt;=2,G745&lt;=2,H745&lt;=2,I745&lt;=2),"Emerging","Progressing")))</f>
        <v/>
      </c>
      <c r="K745" s="6" t="str">
        <f aca="false">IF(F745="","",IF(J745="Proficient","Yes","No"))</f>
        <v/>
      </c>
      <c r="L745" s="6" t="str">
        <f aca="false">IF(F745="","",INDEX({"Listening","Speaking","Reading","Writing"},MATCH(MIN(F745:I745),F745:I745,0)))</f>
        <v/>
      </c>
      <c r="M745" s="17"/>
      <c r="N745" s="6" t="str">
        <f aca="false">IF(OR(F745="",M745=""),"",ROUND(AVERAGE(F745:I745)-M745,1))</f>
        <v/>
      </c>
      <c r="O745" s="17"/>
      <c r="P745" s="17"/>
      <c r="Q745" s="17"/>
    </row>
    <row r="746" customFormat="false" ht="15" hidden="false" customHeight="true" outlineLevel="0" collapsed="false">
      <c r="A746" s="17"/>
      <c r="B746" s="17"/>
      <c r="C746" s="17"/>
      <c r="D746" s="17"/>
      <c r="E746" s="17"/>
      <c r="F746" s="17"/>
      <c r="G746" s="17"/>
      <c r="H746" s="17"/>
      <c r="I746" s="17"/>
      <c r="J746" s="6" t="str">
        <f aca="false">IF(F746="","",IF(AND(F746&gt;=4,G746&gt;=4,H746&gt;=4,I746&gt;=4),"Proficient",IF(AND(F746&lt;=2,G746&lt;=2,H746&lt;=2,I746&lt;=2),"Emerging","Progressing")))</f>
        <v/>
      </c>
      <c r="K746" s="6" t="str">
        <f aca="false">IF(F746="","",IF(J746="Proficient","Yes","No"))</f>
        <v/>
      </c>
      <c r="L746" s="6" t="str">
        <f aca="false">IF(F746="","",INDEX({"Listening","Speaking","Reading","Writing"},MATCH(MIN(F746:I746),F746:I746,0)))</f>
        <v/>
      </c>
      <c r="M746" s="17"/>
      <c r="N746" s="6" t="str">
        <f aca="false">IF(OR(F746="",M746=""),"",ROUND(AVERAGE(F746:I746)-M746,1))</f>
        <v/>
      </c>
      <c r="O746" s="17"/>
      <c r="P746" s="17"/>
      <c r="Q746" s="17"/>
    </row>
    <row r="747" customFormat="false" ht="15" hidden="false" customHeight="true" outlineLevel="0" collapsed="false">
      <c r="A747" s="17"/>
      <c r="B747" s="17"/>
      <c r="C747" s="17"/>
      <c r="D747" s="17"/>
      <c r="E747" s="17"/>
      <c r="F747" s="17"/>
      <c r="G747" s="17"/>
      <c r="H747" s="17"/>
      <c r="I747" s="17"/>
      <c r="J747" s="6" t="str">
        <f aca="false">IF(F747="","",IF(AND(F747&gt;=4,G747&gt;=4,H747&gt;=4,I747&gt;=4),"Proficient",IF(AND(F747&lt;=2,G747&lt;=2,H747&lt;=2,I747&lt;=2),"Emerging","Progressing")))</f>
        <v/>
      </c>
      <c r="K747" s="6" t="str">
        <f aca="false">IF(F747="","",IF(J747="Proficient","Yes","No"))</f>
        <v/>
      </c>
      <c r="L747" s="6" t="str">
        <f aca="false">IF(F747="","",INDEX({"Listening","Speaking","Reading","Writing"},MATCH(MIN(F747:I747),F747:I747,0)))</f>
        <v/>
      </c>
      <c r="M747" s="17"/>
      <c r="N747" s="6" t="str">
        <f aca="false">IF(OR(F747="",M747=""),"",ROUND(AVERAGE(F747:I747)-M747,1))</f>
        <v/>
      </c>
      <c r="O747" s="17"/>
      <c r="P747" s="17"/>
      <c r="Q747" s="17"/>
    </row>
    <row r="748" customFormat="false" ht="15" hidden="false" customHeight="true" outlineLevel="0" collapsed="false">
      <c r="A748" s="17"/>
      <c r="B748" s="17"/>
      <c r="C748" s="17"/>
      <c r="D748" s="17"/>
      <c r="E748" s="17"/>
      <c r="F748" s="17"/>
      <c r="G748" s="17"/>
      <c r="H748" s="17"/>
      <c r="I748" s="17"/>
      <c r="J748" s="6" t="str">
        <f aca="false">IF(F748="","",IF(AND(F748&gt;=4,G748&gt;=4,H748&gt;=4,I748&gt;=4),"Proficient",IF(AND(F748&lt;=2,G748&lt;=2,H748&lt;=2,I748&lt;=2),"Emerging","Progressing")))</f>
        <v/>
      </c>
      <c r="K748" s="6" t="str">
        <f aca="false">IF(F748="","",IF(J748="Proficient","Yes","No"))</f>
        <v/>
      </c>
      <c r="L748" s="6" t="str">
        <f aca="false">IF(F748="","",INDEX({"Listening","Speaking","Reading","Writing"},MATCH(MIN(F748:I748),F748:I748,0)))</f>
        <v/>
      </c>
      <c r="M748" s="17"/>
      <c r="N748" s="6" t="str">
        <f aca="false">IF(OR(F748="",M748=""),"",ROUND(AVERAGE(F748:I748)-M748,1))</f>
        <v/>
      </c>
      <c r="O748" s="17"/>
      <c r="P748" s="17"/>
      <c r="Q748" s="17"/>
    </row>
    <row r="749" customFormat="false" ht="15" hidden="false" customHeight="true" outlineLevel="0" collapsed="false">
      <c r="A749" s="17"/>
      <c r="B749" s="17"/>
      <c r="C749" s="17"/>
      <c r="D749" s="17"/>
      <c r="E749" s="17"/>
      <c r="F749" s="17"/>
      <c r="G749" s="17"/>
      <c r="H749" s="17"/>
      <c r="I749" s="17"/>
      <c r="J749" s="6" t="str">
        <f aca="false">IF(F749="","",IF(AND(F749&gt;=4,G749&gt;=4,H749&gt;=4,I749&gt;=4),"Proficient",IF(AND(F749&lt;=2,G749&lt;=2,H749&lt;=2,I749&lt;=2),"Emerging","Progressing")))</f>
        <v/>
      </c>
      <c r="K749" s="6" t="str">
        <f aca="false">IF(F749="","",IF(J749="Proficient","Yes","No"))</f>
        <v/>
      </c>
      <c r="L749" s="6" t="str">
        <f aca="false">IF(F749="","",INDEX({"Listening","Speaking","Reading","Writing"},MATCH(MIN(F749:I749),F749:I749,0)))</f>
        <v/>
      </c>
      <c r="M749" s="17"/>
      <c r="N749" s="6" t="str">
        <f aca="false">IF(OR(F749="",M749=""),"",ROUND(AVERAGE(F749:I749)-M749,1))</f>
        <v/>
      </c>
      <c r="O749" s="17"/>
      <c r="P749" s="17"/>
      <c r="Q749" s="17"/>
    </row>
    <row r="750" customFormat="false" ht="15" hidden="false" customHeight="true" outlineLevel="0" collapsed="false">
      <c r="A750" s="17"/>
      <c r="B750" s="17"/>
      <c r="C750" s="17"/>
      <c r="D750" s="17"/>
      <c r="E750" s="17"/>
      <c r="F750" s="17"/>
      <c r="G750" s="17"/>
      <c r="H750" s="17"/>
      <c r="I750" s="17"/>
      <c r="J750" s="6" t="str">
        <f aca="false">IF(F750="","",IF(AND(F750&gt;=4,G750&gt;=4,H750&gt;=4,I750&gt;=4),"Proficient",IF(AND(F750&lt;=2,G750&lt;=2,H750&lt;=2,I750&lt;=2),"Emerging","Progressing")))</f>
        <v/>
      </c>
      <c r="K750" s="6" t="str">
        <f aca="false">IF(F750="","",IF(J750="Proficient","Yes","No"))</f>
        <v/>
      </c>
      <c r="L750" s="6" t="str">
        <f aca="false">IF(F750="","",INDEX({"Listening","Speaking","Reading","Writing"},MATCH(MIN(F750:I750),F750:I750,0)))</f>
        <v/>
      </c>
      <c r="M750" s="17"/>
      <c r="N750" s="6" t="str">
        <f aca="false">IF(OR(F750="",M750=""),"",ROUND(AVERAGE(F750:I750)-M750,1))</f>
        <v/>
      </c>
      <c r="O750" s="17"/>
      <c r="P750" s="17"/>
      <c r="Q750" s="17"/>
    </row>
    <row r="751" customFormat="false" ht="15" hidden="false" customHeight="true" outlineLevel="0" collapsed="false">
      <c r="A751" s="17"/>
      <c r="B751" s="17"/>
      <c r="C751" s="17"/>
      <c r="D751" s="17"/>
      <c r="E751" s="17"/>
      <c r="F751" s="17"/>
      <c r="G751" s="17"/>
      <c r="H751" s="17"/>
      <c r="I751" s="17"/>
      <c r="J751" s="6" t="str">
        <f aca="false">IF(F751="","",IF(AND(F751&gt;=4,G751&gt;=4,H751&gt;=4,I751&gt;=4),"Proficient",IF(AND(F751&lt;=2,G751&lt;=2,H751&lt;=2,I751&lt;=2),"Emerging","Progressing")))</f>
        <v/>
      </c>
      <c r="K751" s="6" t="str">
        <f aca="false">IF(F751="","",IF(J751="Proficient","Yes","No"))</f>
        <v/>
      </c>
      <c r="L751" s="6" t="str">
        <f aca="false">IF(F751="","",INDEX({"Listening","Speaking","Reading","Writing"},MATCH(MIN(F751:I751),F751:I751,0)))</f>
        <v/>
      </c>
      <c r="M751" s="17"/>
      <c r="N751" s="6" t="str">
        <f aca="false">IF(OR(F751="",M751=""),"",ROUND(AVERAGE(F751:I751)-M751,1))</f>
        <v/>
      </c>
      <c r="O751" s="17"/>
      <c r="P751" s="17"/>
      <c r="Q751" s="17"/>
    </row>
    <row r="752" customFormat="false" ht="15" hidden="false" customHeight="true" outlineLevel="0" collapsed="false">
      <c r="A752" s="17"/>
      <c r="B752" s="17"/>
      <c r="C752" s="17"/>
      <c r="D752" s="17"/>
      <c r="E752" s="17"/>
      <c r="F752" s="17"/>
      <c r="G752" s="17"/>
      <c r="H752" s="17"/>
      <c r="I752" s="17"/>
      <c r="J752" s="6" t="str">
        <f aca="false">IF(F752="","",IF(AND(F752&gt;=4,G752&gt;=4,H752&gt;=4,I752&gt;=4),"Proficient",IF(AND(F752&lt;=2,G752&lt;=2,H752&lt;=2,I752&lt;=2),"Emerging","Progressing")))</f>
        <v/>
      </c>
      <c r="K752" s="6" t="str">
        <f aca="false">IF(F752="","",IF(J752="Proficient","Yes","No"))</f>
        <v/>
      </c>
      <c r="L752" s="6" t="str">
        <f aca="false">IF(F752="","",INDEX({"Listening","Speaking","Reading","Writing"},MATCH(MIN(F752:I752),F752:I752,0)))</f>
        <v/>
      </c>
      <c r="M752" s="17"/>
      <c r="N752" s="6" t="str">
        <f aca="false">IF(OR(F752="",M752=""),"",ROUND(AVERAGE(F752:I752)-M752,1))</f>
        <v/>
      </c>
      <c r="O752" s="17"/>
      <c r="P752" s="17"/>
      <c r="Q752" s="17"/>
    </row>
    <row r="753" customFormat="false" ht="15" hidden="false" customHeight="true" outlineLevel="0" collapsed="false">
      <c r="A753" s="17"/>
      <c r="B753" s="17"/>
      <c r="C753" s="17"/>
      <c r="D753" s="17"/>
      <c r="E753" s="17"/>
      <c r="F753" s="17"/>
      <c r="G753" s="17"/>
      <c r="H753" s="17"/>
      <c r="I753" s="17"/>
      <c r="J753" s="6" t="str">
        <f aca="false">IF(F753="","",IF(AND(F753&gt;=4,G753&gt;=4,H753&gt;=4,I753&gt;=4),"Proficient",IF(AND(F753&lt;=2,G753&lt;=2,H753&lt;=2,I753&lt;=2),"Emerging","Progressing")))</f>
        <v/>
      </c>
      <c r="K753" s="6" t="str">
        <f aca="false">IF(F753="","",IF(J753="Proficient","Yes","No"))</f>
        <v/>
      </c>
      <c r="L753" s="6" t="str">
        <f aca="false">IF(F753="","",INDEX({"Listening","Speaking","Reading","Writing"},MATCH(MIN(F753:I753),F753:I753,0)))</f>
        <v/>
      </c>
      <c r="M753" s="17"/>
      <c r="N753" s="6" t="str">
        <f aca="false">IF(OR(F753="",M753=""),"",ROUND(AVERAGE(F753:I753)-M753,1))</f>
        <v/>
      </c>
      <c r="O753" s="17"/>
      <c r="P753" s="17"/>
      <c r="Q753" s="17"/>
    </row>
    <row r="754" customFormat="false" ht="15" hidden="false" customHeight="true" outlineLevel="0" collapsed="false">
      <c r="A754" s="17"/>
      <c r="B754" s="17"/>
      <c r="C754" s="17"/>
      <c r="D754" s="17"/>
      <c r="E754" s="17"/>
      <c r="F754" s="17"/>
      <c r="G754" s="17"/>
      <c r="H754" s="17"/>
      <c r="I754" s="17"/>
      <c r="J754" s="6" t="str">
        <f aca="false">IF(F754="","",IF(AND(F754&gt;=4,G754&gt;=4,H754&gt;=4,I754&gt;=4),"Proficient",IF(AND(F754&lt;=2,G754&lt;=2,H754&lt;=2,I754&lt;=2),"Emerging","Progressing")))</f>
        <v/>
      </c>
      <c r="K754" s="6" t="str">
        <f aca="false">IF(F754="","",IF(J754="Proficient","Yes","No"))</f>
        <v/>
      </c>
      <c r="L754" s="6" t="str">
        <f aca="false">IF(F754="","",INDEX({"Listening","Speaking","Reading","Writing"},MATCH(MIN(F754:I754),F754:I754,0)))</f>
        <v/>
      </c>
      <c r="M754" s="17"/>
      <c r="N754" s="6" t="str">
        <f aca="false">IF(OR(F754="",M754=""),"",ROUND(AVERAGE(F754:I754)-M754,1))</f>
        <v/>
      </c>
      <c r="O754" s="17"/>
      <c r="P754" s="17"/>
      <c r="Q754" s="17"/>
    </row>
    <row r="755" customFormat="false" ht="15" hidden="false" customHeight="true" outlineLevel="0" collapsed="false">
      <c r="A755" s="17"/>
      <c r="B755" s="17"/>
      <c r="C755" s="17"/>
      <c r="D755" s="17"/>
      <c r="E755" s="17"/>
      <c r="F755" s="17"/>
      <c r="G755" s="17"/>
      <c r="H755" s="17"/>
      <c r="I755" s="17"/>
      <c r="J755" s="6" t="str">
        <f aca="false">IF(F755="","",IF(AND(F755&gt;=4,G755&gt;=4,H755&gt;=4,I755&gt;=4),"Proficient",IF(AND(F755&lt;=2,G755&lt;=2,H755&lt;=2,I755&lt;=2),"Emerging","Progressing")))</f>
        <v/>
      </c>
      <c r="K755" s="6" t="str">
        <f aca="false">IF(F755="","",IF(J755="Proficient","Yes","No"))</f>
        <v/>
      </c>
      <c r="L755" s="6" t="str">
        <f aca="false">IF(F755="","",INDEX({"Listening","Speaking","Reading","Writing"},MATCH(MIN(F755:I755),F755:I755,0)))</f>
        <v/>
      </c>
      <c r="M755" s="17"/>
      <c r="N755" s="6" t="str">
        <f aca="false">IF(OR(F755="",M755=""),"",ROUND(AVERAGE(F755:I755)-M755,1))</f>
        <v/>
      </c>
      <c r="O755" s="17"/>
      <c r="P755" s="17"/>
      <c r="Q755" s="17"/>
    </row>
    <row r="756" customFormat="false" ht="15" hidden="false" customHeight="true" outlineLevel="0" collapsed="false">
      <c r="A756" s="17"/>
      <c r="B756" s="17"/>
      <c r="C756" s="17"/>
      <c r="D756" s="17"/>
      <c r="E756" s="17"/>
      <c r="F756" s="17"/>
      <c r="G756" s="17"/>
      <c r="H756" s="17"/>
      <c r="I756" s="17"/>
      <c r="J756" s="6" t="str">
        <f aca="false">IF(F756="","",IF(AND(F756&gt;=4,G756&gt;=4,H756&gt;=4,I756&gt;=4),"Proficient",IF(AND(F756&lt;=2,G756&lt;=2,H756&lt;=2,I756&lt;=2),"Emerging","Progressing")))</f>
        <v/>
      </c>
      <c r="K756" s="6" t="str">
        <f aca="false">IF(F756="","",IF(J756="Proficient","Yes","No"))</f>
        <v/>
      </c>
      <c r="L756" s="6" t="str">
        <f aca="false">IF(F756="","",INDEX({"Listening","Speaking","Reading","Writing"},MATCH(MIN(F756:I756),F756:I756,0)))</f>
        <v/>
      </c>
      <c r="M756" s="17"/>
      <c r="N756" s="6" t="str">
        <f aca="false">IF(OR(F756="",M756=""),"",ROUND(AVERAGE(F756:I756)-M756,1))</f>
        <v/>
      </c>
      <c r="O756" s="17"/>
      <c r="P756" s="17"/>
      <c r="Q756" s="17"/>
    </row>
    <row r="757" customFormat="false" ht="15" hidden="false" customHeight="true" outlineLevel="0" collapsed="false">
      <c r="A757" s="17"/>
      <c r="B757" s="17"/>
      <c r="C757" s="17"/>
      <c r="D757" s="17"/>
      <c r="E757" s="17"/>
      <c r="F757" s="17"/>
      <c r="G757" s="17"/>
      <c r="H757" s="17"/>
      <c r="I757" s="17"/>
      <c r="J757" s="6" t="str">
        <f aca="false">IF(F757="","",IF(AND(F757&gt;=4,G757&gt;=4,H757&gt;=4,I757&gt;=4),"Proficient",IF(AND(F757&lt;=2,G757&lt;=2,H757&lt;=2,I757&lt;=2),"Emerging","Progressing")))</f>
        <v/>
      </c>
      <c r="K757" s="6" t="str">
        <f aca="false">IF(F757="","",IF(J757="Proficient","Yes","No"))</f>
        <v/>
      </c>
      <c r="L757" s="6" t="str">
        <f aca="false">IF(F757="","",INDEX({"Listening","Speaking","Reading","Writing"},MATCH(MIN(F757:I757),F757:I757,0)))</f>
        <v/>
      </c>
      <c r="M757" s="17"/>
      <c r="N757" s="6" t="str">
        <f aca="false">IF(OR(F757="",M757=""),"",ROUND(AVERAGE(F757:I757)-M757,1))</f>
        <v/>
      </c>
      <c r="O757" s="17"/>
      <c r="P757" s="17"/>
      <c r="Q757" s="17"/>
    </row>
    <row r="758" customFormat="false" ht="15" hidden="false" customHeight="true" outlineLevel="0" collapsed="false">
      <c r="A758" s="17"/>
      <c r="B758" s="17"/>
      <c r="C758" s="17"/>
      <c r="D758" s="17"/>
      <c r="E758" s="17"/>
      <c r="F758" s="17"/>
      <c r="G758" s="17"/>
      <c r="H758" s="17"/>
      <c r="I758" s="17"/>
      <c r="J758" s="6" t="str">
        <f aca="false">IF(F758="","",IF(AND(F758&gt;=4,G758&gt;=4,H758&gt;=4,I758&gt;=4),"Proficient",IF(AND(F758&lt;=2,G758&lt;=2,H758&lt;=2,I758&lt;=2),"Emerging","Progressing")))</f>
        <v/>
      </c>
      <c r="K758" s="6" t="str">
        <f aca="false">IF(F758="","",IF(J758="Proficient","Yes","No"))</f>
        <v/>
      </c>
      <c r="L758" s="6" t="str">
        <f aca="false">IF(F758="","",INDEX({"Listening","Speaking","Reading","Writing"},MATCH(MIN(F758:I758),F758:I758,0)))</f>
        <v/>
      </c>
      <c r="M758" s="17"/>
      <c r="N758" s="6" t="str">
        <f aca="false">IF(OR(F758="",M758=""),"",ROUND(AVERAGE(F758:I758)-M758,1))</f>
        <v/>
      </c>
      <c r="O758" s="17"/>
      <c r="P758" s="17"/>
      <c r="Q758" s="17"/>
    </row>
    <row r="759" customFormat="false" ht="15" hidden="false" customHeight="true" outlineLevel="0" collapsed="false">
      <c r="A759" s="17"/>
      <c r="B759" s="17"/>
      <c r="C759" s="17"/>
      <c r="D759" s="17"/>
      <c r="E759" s="17"/>
      <c r="F759" s="17"/>
      <c r="G759" s="17"/>
      <c r="H759" s="17"/>
      <c r="I759" s="17"/>
      <c r="J759" s="6" t="str">
        <f aca="false">IF(F759="","",IF(AND(F759&gt;=4,G759&gt;=4,H759&gt;=4,I759&gt;=4),"Proficient",IF(AND(F759&lt;=2,G759&lt;=2,H759&lt;=2,I759&lt;=2),"Emerging","Progressing")))</f>
        <v/>
      </c>
      <c r="K759" s="6" t="str">
        <f aca="false">IF(F759="","",IF(J759="Proficient","Yes","No"))</f>
        <v/>
      </c>
      <c r="L759" s="6" t="str">
        <f aca="false">IF(F759="","",INDEX({"Listening","Speaking","Reading","Writing"},MATCH(MIN(F759:I759),F759:I759,0)))</f>
        <v/>
      </c>
      <c r="M759" s="17"/>
      <c r="N759" s="6" t="str">
        <f aca="false">IF(OR(F759="",M759=""),"",ROUND(AVERAGE(F759:I759)-M759,1))</f>
        <v/>
      </c>
      <c r="O759" s="17"/>
      <c r="P759" s="17"/>
      <c r="Q759" s="17"/>
    </row>
    <row r="760" customFormat="false" ht="15" hidden="false" customHeight="true" outlineLevel="0" collapsed="false">
      <c r="A760" s="17"/>
      <c r="B760" s="17"/>
      <c r="C760" s="17"/>
      <c r="D760" s="17"/>
      <c r="E760" s="17"/>
      <c r="F760" s="17"/>
      <c r="G760" s="17"/>
      <c r="H760" s="17"/>
      <c r="I760" s="17"/>
      <c r="J760" s="6" t="str">
        <f aca="false">IF(F760="","",IF(AND(F760&gt;=4,G760&gt;=4,H760&gt;=4,I760&gt;=4),"Proficient",IF(AND(F760&lt;=2,G760&lt;=2,H760&lt;=2,I760&lt;=2),"Emerging","Progressing")))</f>
        <v/>
      </c>
      <c r="K760" s="6" t="str">
        <f aca="false">IF(F760="","",IF(J760="Proficient","Yes","No"))</f>
        <v/>
      </c>
      <c r="L760" s="6" t="str">
        <f aca="false">IF(F760="","",INDEX({"Listening","Speaking","Reading","Writing"},MATCH(MIN(F760:I760),F760:I760,0)))</f>
        <v/>
      </c>
      <c r="M760" s="17"/>
      <c r="N760" s="6" t="str">
        <f aca="false">IF(OR(F760="",M760=""),"",ROUND(AVERAGE(F760:I760)-M760,1))</f>
        <v/>
      </c>
      <c r="O760" s="17"/>
      <c r="P760" s="17"/>
      <c r="Q760" s="17"/>
    </row>
    <row r="761" customFormat="false" ht="15" hidden="false" customHeight="true" outlineLevel="0" collapsed="false">
      <c r="A761" s="17"/>
      <c r="B761" s="17"/>
      <c r="C761" s="17"/>
      <c r="D761" s="17"/>
      <c r="E761" s="17"/>
      <c r="F761" s="17"/>
      <c r="G761" s="17"/>
      <c r="H761" s="17"/>
      <c r="I761" s="17"/>
      <c r="J761" s="6" t="str">
        <f aca="false">IF(F761="","",IF(AND(F761&gt;=4,G761&gt;=4,H761&gt;=4,I761&gt;=4),"Proficient",IF(AND(F761&lt;=2,G761&lt;=2,H761&lt;=2,I761&lt;=2),"Emerging","Progressing")))</f>
        <v/>
      </c>
      <c r="K761" s="6" t="str">
        <f aca="false">IF(F761="","",IF(J761="Proficient","Yes","No"))</f>
        <v/>
      </c>
      <c r="L761" s="6" t="str">
        <f aca="false">IF(F761="","",INDEX({"Listening","Speaking","Reading","Writing"},MATCH(MIN(F761:I761),F761:I761,0)))</f>
        <v/>
      </c>
      <c r="M761" s="17"/>
      <c r="N761" s="6" t="str">
        <f aca="false">IF(OR(F761="",M761=""),"",ROUND(AVERAGE(F761:I761)-M761,1))</f>
        <v/>
      </c>
      <c r="O761" s="17"/>
      <c r="P761" s="17"/>
      <c r="Q761" s="17"/>
    </row>
    <row r="762" customFormat="false" ht="15" hidden="false" customHeight="true" outlineLevel="0" collapsed="false">
      <c r="A762" s="17"/>
      <c r="B762" s="17"/>
      <c r="C762" s="17"/>
      <c r="D762" s="17"/>
      <c r="E762" s="17"/>
      <c r="F762" s="17"/>
      <c r="G762" s="17"/>
      <c r="H762" s="17"/>
      <c r="I762" s="17"/>
      <c r="J762" s="6" t="str">
        <f aca="false">IF(F762="","",IF(AND(F762&gt;=4,G762&gt;=4,H762&gt;=4,I762&gt;=4),"Proficient",IF(AND(F762&lt;=2,G762&lt;=2,H762&lt;=2,I762&lt;=2),"Emerging","Progressing")))</f>
        <v/>
      </c>
      <c r="K762" s="6" t="str">
        <f aca="false">IF(F762="","",IF(J762="Proficient","Yes","No"))</f>
        <v/>
      </c>
      <c r="L762" s="6" t="str">
        <f aca="false">IF(F762="","",INDEX({"Listening","Speaking","Reading","Writing"},MATCH(MIN(F762:I762),F762:I762,0)))</f>
        <v/>
      </c>
      <c r="M762" s="17"/>
      <c r="N762" s="6" t="str">
        <f aca="false">IF(OR(F762="",M762=""),"",ROUND(AVERAGE(F762:I762)-M762,1))</f>
        <v/>
      </c>
      <c r="O762" s="17"/>
      <c r="P762" s="17"/>
      <c r="Q762" s="17"/>
    </row>
    <row r="763" customFormat="false" ht="15" hidden="false" customHeight="true" outlineLevel="0" collapsed="false">
      <c r="A763" s="17"/>
      <c r="B763" s="17"/>
      <c r="C763" s="17"/>
      <c r="D763" s="17"/>
      <c r="E763" s="17"/>
      <c r="F763" s="17"/>
      <c r="G763" s="17"/>
      <c r="H763" s="17"/>
      <c r="I763" s="17"/>
      <c r="J763" s="6" t="str">
        <f aca="false">IF(F763="","",IF(AND(F763&gt;=4,G763&gt;=4,H763&gt;=4,I763&gt;=4),"Proficient",IF(AND(F763&lt;=2,G763&lt;=2,H763&lt;=2,I763&lt;=2),"Emerging","Progressing")))</f>
        <v/>
      </c>
      <c r="K763" s="6" t="str">
        <f aca="false">IF(F763="","",IF(J763="Proficient","Yes","No"))</f>
        <v/>
      </c>
      <c r="L763" s="6" t="str">
        <f aca="false">IF(F763="","",INDEX({"Listening","Speaking","Reading","Writing"},MATCH(MIN(F763:I763),F763:I763,0)))</f>
        <v/>
      </c>
      <c r="M763" s="17"/>
      <c r="N763" s="6" t="str">
        <f aca="false">IF(OR(F763="",M763=""),"",ROUND(AVERAGE(F763:I763)-M763,1))</f>
        <v/>
      </c>
      <c r="O763" s="17"/>
      <c r="P763" s="17"/>
      <c r="Q763" s="17"/>
    </row>
    <row r="764" customFormat="false" ht="15" hidden="false" customHeight="true" outlineLevel="0" collapsed="false">
      <c r="A764" s="17"/>
      <c r="B764" s="17"/>
      <c r="C764" s="17"/>
      <c r="D764" s="17"/>
      <c r="E764" s="17"/>
      <c r="F764" s="17"/>
      <c r="G764" s="17"/>
      <c r="H764" s="17"/>
      <c r="I764" s="17"/>
      <c r="J764" s="6" t="str">
        <f aca="false">IF(F764="","",IF(AND(F764&gt;=4,G764&gt;=4,H764&gt;=4,I764&gt;=4),"Proficient",IF(AND(F764&lt;=2,G764&lt;=2,H764&lt;=2,I764&lt;=2),"Emerging","Progressing")))</f>
        <v/>
      </c>
      <c r="K764" s="6" t="str">
        <f aca="false">IF(F764="","",IF(J764="Proficient","Yes","No"))</f>
        <v/>
      </c>
      <c r="L764" s="6" t="str">
        <f aca="false">IF(F764="","",INDEX({"Listening","Speaking","Reading","Writing"},MATCH(MIN(F764:I764),F764:I764,0)))</f>
        <v/>
      </c>
      <c r="M764" s="17"/>
      <c r="N764" s="6" t="str">
        <f aca="false">IF(OR(F764="",M764=""),"",ROUND(AVERAGE(F764:I764)-M764,1))</f>
        <v/>
      </c>
      <c r="O764" s="17"/>
      <c r="P764" s="17"/>
      <c r="Q764" s="17"/>
    </row>
    <row r="765" customFormat="false" ht="15" hidden="false" customHeight="true" outlineLevel="0" collapsed="false">
      <c r="A765" s="17"/>
      <c r="B765" s="17"/>
      <c r="C765" s="17"/>
      <c r="D765" s="17"/>
      <c r="E765" s="17"/>
      <c r="F765" s="17"/>
      <c r="G765" s="17"/>
      <c r="H765" s="17"/>
      <c r="I765" s="17"/>
      <c r="J765" s="6" t="str">
        <f aca="false">IF(F765="","",IF(AND(F765&gt;=4,G765&gt;=4,H765&gt;=4,I765&gt;=4),"Proficient",IF(AND(F765&lt;=2,G765&lt;=2,H765&lt;=2,I765&lt;=2),"Emerging","Progressing")))</f>
        <v/>
      </c>
      <c r="K765" s="6" t="str">
        <f aca="false">IF(F765="","",IF(J765="Proficient","Yes","No"))</f>
        <v/>
      </c>
      <c r="L765" s="6" t="str">
        <f aca="false">IF(F765="","",INDEX({"Listening","Speaking","Reading","Writing"},MATCH(MIN(F765:I765),F765:I765,0)))</f>
        <v/>
      </c>
      <c r="M765" s="17"/>
      <c r="N765" s="6" t="str">
        <f aca="false">IF(OR(F765="",M765=""),"",ROUND(AVERAGE(F765:I765)-M765,1))</f>
        <v/>
      </c>
      <c r="O765" s="17"/>
      <c r="P765" s="17"/>
      <c r="Q765" s="17"/>
    </row>
    <row r="766" customFormat="false" ht="15" hidden="false" customHeight="true" outlineLevel="0" collapsed="false">
      <c r="A766" s="17"/>
      <c r="B766" s="17"/>
      <c r="C766" s="17"/>
      <c r="D766" s="17"/>
      <c r="E766" s="17"/>
      <c r="F766" s="17"/>
      <c r="G766" s="17"/>
      <c r="H766" s="17"/>
      <c r="I766" s="17"/>
      <c r="J766" s="6" t="str">
        <f aca="false">IF(F766="","",IF(AND(F766&gt;=4,G766&gt;=4,H766&gt;=4,I766&gt;=4),"Proficient",IF(AND(F766&lt;=2,G766&lt;=2,H766&lt;=2,I766&lt;=2),"Emerging","Progressing")))</f>
        <v/>
      </c>
      <c r="K766" s="6" t="str">
        <f aca="false">IF(F766="","",IF(J766="Proficient","Yes","No"))</f>
        <v/>
      </c>
      <c r="L766" s="6" t="str">
        <f aca="false">IF(F766="","",INDEX({"Listening","Speaking","Reading","Writing"},MATCH(MIN(F766:I766),F766:I766,0)))</f>
        <v/>
      </c>
      <c r="M766" s="17"/>
      <c r="N766" s="6" t="str">
        <f aca="false">IF(OR(F766="",M766=""),"",ROUND(AVERAGE(F766:I766)-M766,1))</f>
        <v/>
      </c>
      <c r="O766" s="17"/>
      <c r="P766" s="17"/>
      <c r="Q766" s="17"/>
    </row>
    <row r="767" customFormat="false" ht="15" hidden="false" customHeight="true" outlineLevel="0" collapsed="false">
      <c r="A767" s="17"/>
      <c r="B767" s="17"/>
      <c r="C767" s="17"/>
      <c r="D767" s="17"/>
      <c r="E767" s="17"/>
      <c r="F767" s="17"/>
      <c r="G767" s="17"/>
      <c r="H767" s="17"/>
      <c r="I767" s="17"/>
      <c r="J767" s="6" t="str">
        <f aca="false">IF(F767="","",IF(AND(F767&gt;=4,G767&gt;=4,H767&gt;=4,I767&gt;=4),"Proficient",IF(AND(F767&lt;=2,G767&lt;=2,H767&lt;=2,I767&lt;=2),"Emerging","Progressing")))</f>
        <v/>
      </c>
      <c r="K767" s="6" t="str">
        <f aca="false">IF(F767="","",IF(J767="Proficient","Yes","No"))</f>
        <v/>
      </c>
      <c r="L767" s="6" t="str">
        <f aca="false">IF(F767="","",INDEX({"Listening","Speaking","Reading","Writing"},MATCH(MIN(F767:I767),F767:I767,0)))</f>
        <v/>
      </c>
      <c r="M767" s="17"/>
      <c r="N767" s="6" t="str">
        <f aca="false">IF(OR(F767="",M767=""),"",ROUND(AVERAGE(F767:I767)-M767,1))</f>
        <v/>
      </c>
      <c r="O767" s="17"/>
      <c r="P767" s="17"/>
      <c r="Q767" s="17"/>
    </row>
    <row r="768" customFormat="false" ht="15" hidden="false" customHeight="true" outlineLevel="0" collapsed="false">
      <c r="A768" s="17"/>
      <c r="B768" s="17"/>
      <c r="C768" s="17"/>
      <c r="D768" s="17"/>
      <c r="E768" s="17"/>
      <c r="F768" s="17"/>
      <c r="G768" s="17"/>
      <c r="H768" s="17"/>
      <c r="I768" s="17"/>
      <c r="J768" s="6" t="str">
        <f aca="false">IF(F768="","",IF(AND(F768&gt;=4,G768&gt;=4,H768&gt;=4,I768&gt;=4),"Proficient",IF(AND(F768&lt;=2,G768&lt;=2,H768&lt;=2,I768&lt;=2),"Emerging","Progressing")))</f>
        <v/>
      </c>
      <c r="K768" s="6" t="str">
        <f aca="false">IF(F768="","",IF(J768="Proficient","Yes","No"))</f>
        <v/>
      </c>
      <c r="L768" s="6" t="str">
        <f aca="false">IF(F768="","",INDEX({"Listening","Speaking","Reading","Writing"},MATCH(MIN(F768:I768),F768:I768,0)))</f>
        <v/>
      </c>
      <c r="M768" s="17"/>
      <c r="N768" s="6" t="str">
        <f aca="false">IF(OR(F768="",M768=""),"",ROUND(AVERAGE(F768:I768)-M768,1))</f>
        <v/>
      </c>
      <c r="O768" s="17"/>
      <c r="P768" s="17"/>
      <c r="Q768" s="17"/>
    </row>
    <row r="769" customFormat="false" ht="15" hidden="false" customHeight="true" outlineLevel="0" collapsed="false">
      <c r="A769" s="17"/>
      <c r="B769" s="17"/>
      <c r="C769" s="17"/>
      <c r="D769" s="17"/>
      <c r="E769" s="17"/>
      <c r="F769" s="17"/>
      <c r="G769" s="17"/>
      <c r="H769" s="17"/>
      <c r="I769" s="17"/>
      <c r="J769" s="6" t="str">
        <f aca="false">IF(F769="","",IF(AND(F769&gt;=4,G769&gt;=4,H769&gt;=4,I769&gt;=4),"Proficient",IF(AND(F769&lt;=2,G769&lt;=2,H769&lt;=2,I769&lt;=2),"Emerging","Progressing")))</f>
        <v/>
      </c>
      <c r="K769" s="6" t="str">
        <f aca="false">IF(F769="","",IF(J769="Proficient","Yes","No"))</f>
        <v/>
      </c>
      <c r="L769" s="6" t="str">
        <f aca="false">IF(F769="","",INDEX({"Listening","Speaking","Reading","Writing"},MATCH(MIN(F769:I769),F769:I769,0)))</f>
        <v/>
      </c>
      <c r="M769" s="17"/>
      <c r="N769" s="6" t="str">
        <f aca="false">IF(OR(F769="",M769=""),"",ROUND(AVERAGE(F769:I769)-M769,1))</f>
        <v/>
      </c>
      <c r="O769" s="17"/>
      <c r="P769" s="17"/>
      <c r="Q769" s="17"/>
    </row>
    <row r="770" customFormat="false" ht="15" hidden="false" customHeight="true" outlineLevel="0" collapsed="false">
      <c r="A770" s="17"/>
      <c r="B770" s="17"/>
      <c r="C770" s="17"/>
      <c r="D770" s="17"/>
      <c r="E770" s="17"/>
      <c r="F770" s="17"/>
      <c r="G770" s="17"/>
      <c r="H770" s="17"/>
      <c r="I770" s="17"/>
      <c r="J770" s="6" t="str">
        <f aca="false">IF(F770="","",IF(AND(F770&gt;=4,G770&gt;=4,H770&gt;=4,I770&gt;=4),"Proficient",IF(AND(F770&lt;=2,G770&lt;=2,H770&lt;=2,I770&lt;=2),"Emerging","Progressing")))</f>
        <v/>
      </c>
      <c r="K770" s="6" t="str">
        <f aca="false">IF(F770="","",IF(J770="Proficient","Yes","No"))</f>
        <v/>
      </c>
      <c r="L770" s="6" t="str">
        <f aca="false">IF(F770="","",INDEX({"Listening","Speaking","Reading","Writing"},MATCH(MIN(F770:I770),F770:I770,0)))</f>
        <v/>
      </c>
      <c r="M770" s="17"/>
      <c r="N770" s="6" t="str">
        <f aca="false">IF(OR(F770="",M770=""),"",ROUND(AVERAGE(F770:I770)-M770,1))</f>
        <v/>
      </c>
      <c r="O770" s="17"/>
      <c r="P770" s="17"/>
      <c r="Q770" s="17"/>
    </row>
    <row r="771" customFormat="false" ht="15" hidden="false" customHeight="true" outlineLevel="0" collapsed="false">
      <c r="A771" s="17"/>
      <c r="B771" s="17"/>
      <c r="C771" s="17"/>
      <c r="D771" s="17"/>
      <c r="E771" s="17"/>
      <c r="F771" s="17"/>
      <c r="G771" s="17"/>
      <c r="H771" s="17"/>
      <c r="I771" s="17"/>
      <c r="J771" s="6" t="str">
        <f aca="false">IF(F771="","",IF(AND(F771&gt;=4,G771&gt;=4,H771&gt;=4,I771&gt;=4),"Proficient",IF(AND(F771&lt;=2,G771&lt;=2,H771&lt;=2,I771&lt;=2),"Emerging","Progressing")))</f>
        <v/>
      </c>
      <c r="K771" s="6" t="str">
        <f aca="false">IF(F771="","",IF(J771="Proficient","Yes","No"))</f>
        <v/>
      </c>
      <c r="L771" s="6" t="str">
        <f aca="false">IF(F771="","",INDEX({"Listening","Speaking","Reading","Writing"},MATCH(MIN(F771:I771),F771:I771,0)))</f>
        <v/>
      </c>
      <c r="M771" s="17"/>
      <c r="N771" s="6" t="str">
        <f aca="false">IF(OR(F771="",M771=""),"",ROUND(AVERAGE(F771:I771)-M771,1))</f>
        <v/>
      </c>
      <c r="O771" s="17"/>
      <c r="P771" s="17"/>
      <c r="Q771" s="17"/>
    </row>
    <row r="772" customFormat="false" ht="15" hidden="false" customHeight="true" outlineLevel="0" collapsed="false">
      <c r="A772" s="17"/>
      <c r="B772" s="17"/>
      <c r="C772" s="17"/>
      <c r="D772" s="17"/>
      <c r="E772" s="17"/>
      <c r="F772" s="17"/>
      <c r="G772" s="17"/>
      <c r="H772" s="17"/>
      <c r="I772" s="17"/>
      <c r="J772" s="6" t="str">
        <f aca="false">IF(F772="","",IF(AND(F772&gt;=4,G772&gt;=4,H772&gt;=4,I772&gt;=4),"Proficient",IF(AND(F772&lt;=2,G772&lt;=2,H772&lt;=2,I772&lt;=2),"Emerging","Progressing")))</f>
        <v/>
      </c>
      <c r="K772" s="6" t="str">
        <f aca="false">IF(F772="","",IF(J772="Proficient","Yes","No"))</f>
        <v/>
      </c>
      <c r="L772" s="6" t="str">
        <f aca="false">IF(F772="","",INDEX({"Listening","Speaking","Reading","Writing"},MATCH(MIN(F772:I772),F772:I772,0)))</f>
        <v/>
      </c>
      <c r="M772" s="17"/>
      <c r="N772" s="6" t="str">
        <f aca="false">IF(OR(F772="",M772=""),"",ROUND(AVERAGE(F772:I772)-M772,1))</f>
        <v/>
      </c>
      <c r="O772" s="17"/>
      <c r="P772" s="17"/>
      <c r="Q772" s="17"/>
    </row>
    <row r="773" customFormat="false" ht="15" hidden="false" customHeight="true" outlineLevel="0" collapsed="false">
      <c r="A773" s="17"/>
      <c r="B773" s="17"/>
      <c r="C773" s="17"/>
      <c r="D773" s="17"/>
      <c r="E773" s="17"/>
      <c r="F773" s="17"/>
      <c r="G773" s="17"/>
      <c r="H773" s="17"/>
      <c r="I773" s="17"/>
      <c r="J773" s="6" t="str">
        <f aca="false">IF(F773="","",IF(AND(F773&gt;=4,G773&gt;=4,H773&gt;=4,I773&gt;=4),"Proficient",IF(AND(F773&lt;=2,G773&lt;=2,H773&lt;=2,I773&lt;=2),"Emerging","Progressing")))</f>
        <v/>
      </c>
      <c r="K773" s="6" t="str">
        <f aca="false">IF(F773="","",IF(J773="Proficient","Yes","No"))</f>
        <v/>
      </c>
      <c r="L773" s="6" t="str">
        <f aca="false">IF(F773="","",INDEX({"Listening","Speaking","Reading","Writing"},MATCH(MIN(F773:I773),F773:I773,0)))</f>
        <v/>
      </c>
      <c r="M773" s="17"/>
      <c r="N773" s="6" t="str">
        <f aca="false">IF(OR(F773="",M773=""),"",ROUND(AVERAGE(F773:I773)-M773,1))</f>
        <v/>
      </c>
      <c r="O773" s="17"/>
      <c r="P773" s="17"/>
      <c r="Q773" s="17"/>
    </row>
    <row r="774" customFormat="false" ht="15" hidden="false" customHeight="true" outlineLevel="0" collapsed="false">
      <c r="A774" s="17"/>
      <c r="B774" s="17"/>
      <c r="C774" s="17"/>
      <c r="D774" s="17"/>
      <c r="E774" s="17"/>
      <c r="F774" s="17"/>
      <c r="G774" s="17"/>
      <c r="H774" s="17"/>
      <c r="I774" s="17"/>
      <c r="J774" s="6" t="str">
        <f aca="false">IF(F774="","",IF(AND(F774&gt;=4,G774&gt;=4,H774&gt;=4,I774&gt;=4),"Proficient",IF(AND(F774&lt;=2,G774&lt;=2,H774&lt;=2,I774&lt;=2),"Emerging","Progressing")))</f>
        <v/>
      </c>
      <c r="K774" s="6" t="str">
        <f aca="false">IF(F774="","",IF(J774="Proficient","Yes","No"))</f>
        <v/>
      </c>
      <c r="L774" s="6" t="str">
        <f aca="false">IF(F774="","",INDEX({"Listening","Speaking","Reading","Writing"},MATCH(MIN(F774:I774),F774:I774,0)))</f>
        <v/>
      </c>
      <c r="M774" s="17"/>
      <c r="N774" s="6" t="str">
        <f aca="false">IF(OR(F774="",M774=""),"",ROUND(AVERAGE(F774:I774)-M774,1))</f>
        <v/>
      </c>
      <c r="O774" s="17"/>
      <c r="P774" s="17"/>
      <c r="Q774" s="17"/>
    </row>
    <row r="775" customFormat="false" ht="15" hidden="false" customHeight="true" outlineLevel="0" collapsed="false">
      <c r="A775" s="17"/>
      <c r="B775" s="17"/>
      <c r="C775" s="17"/>
      <c r="D775" s="17"/>
      <c r="E775" s="17"/>
      <c r="F775" s="17"/>
      <c r="G775" s="17"/>
      <c r="H775" s="17"/>
      <c r="I775" s="17"/>
      <c r="J775" s="6" t="str">
        <f aca="false">IF(F775="","",IF(AND(F775&gt;=4,G775&gt;=4,H775&gt;=4,I775&gt;=4),"Proficient",IF(AND(F775&lt;=2,G775&lt;=2,H775&lt;=2,I775&lt;=2),"Emerging","Progressing")))</f>
        <v/>
      </c>
      <c r="K775" s="6" t="str">
        <f aca="false">IF(F775="","",IF(J775="Proficient","Yes","No"))</f>
        <v/>
      </c>
      <c r="L775" s="6" t="str">
        <f aca="false">IF(F775="","",INDEX({"Listening","Speaking","Reading","Writing"},MATCH(MIN(F775:I775),F775:I775,0)))</f>
        <v/>
      </c>
      <c r="M775" s="17"/>
      <c r="N775" s="6" t="str">
        <f aca="false">IF(OR(F775="",M775=""),"",ROUND(AVERAGE(F775:I775)-M775,1))</f>
        <v/>
      </c>
      <c r="O775" s="17"/>
      <c r="P775" s="17"/>
      <c r="Q775" s="17"/>
    </row>
    <row r="776" customFormat="false" ht="15" hidden="false" customHeight="true" outlineLevel="0" collapsed="false">
      <c r="A776" s="17"/>
      <c r="B776" s="17"/>
      <c r="C776" s="17"/>
      <c r="D776" s="17"/>
      <c r="E776" s="17"/>
      <c r="F776" s="17"/>
      <c r="G776" s="17"/>
      <c r="H776" s="17"/>
      <c r="I776" s="17"/>
      <c r="J776" s="6" t="str">
        <f aca="false">IF(F776="","",IF(AND(F776&gt;=4,G776&gt;=4,H776&gt;=4,I776&gt;=4),"Proficient",IF(AND(F776&lt;=2,G776&lt;=2,H776&lt;=2,I776&lt;=2),"Emerging","Progressing")))</f>
        <v/>
      </c>
      <c r="K776" s="6" t="str">
        <f aca="false">IF(F776="","",IF(J776="Proficient","Yes","No"))</f>
        <v/>
      </c>
      <c r="L776" s="6" t="str">
        <f aca="false">IF(F776="","",INDEX({"Listening","Speaking","Reading","Writing"},MATCH(MIN(F776:I776),F776:I776,0)))</f>
        <v/>
      </c>
      <c r="M776" s="17"/>
      <c r="N776" s="6" t="str">
        <f aca="false">IF(OR(F776="",M776=""),"",ROUND(AVERAGE(F776:I776)-M776,1))</f>
        <v/>
      </c>
      <c r="O776" s="17"/>
      <c r="P776" s="17"/>
      <c r="Q776" s="17"/>
    </row>
    <row r="777" customFormat="false" ht="15" hidden="false" customHeight="true" outlineLevel="0" collapsed="false">
      <c r="A777" s="17"/>
      <c r="B777" s="17"/>
      <c r="C777" s="17"/>
      <c r="D777" s="17"/>
      <c r="E777" s="17"/>
      <c r="F777" s="17"/>
      <c r="G777" s="17"/>
      <c r="H777" s="17"/>
      <c r="I777" s="17"/>
      <c r="J777" s="6" t="str">
        <f aca="false">IF(F777="","",IF(AND(F777&gt;=4,G777&gt;=4,H777&gt;=4,I777&gt;=4),"Proficient",IF(AND(F777&lt;=2,G777&lt;=2,H777&lt;=2,I777&lt;=2),"Emerging","Progressing")))</f>
        <v/>
      </c>
      <c r="K777" s="6" t="str">
        <f aca="false">IF(F777="","",IF(J777="Proficient","Yes","No"))</f>
        <v/>
      </c>
      <c r="L777" s="6" t="str">
        <f aca="false">IF(F777="","",INDEX({"Listening","Speaking","Reading","Writing"},MATCH(MIN(F777:I777),F777:I777,0)))</f>
        <v/>
      </c>
      <c r="M777" s="17"/>
      <c r="N777" s="6" t="str">
        <f aca="false">IF(OR(F777="",M777=""),"",ROUND(AVERAGE(F777:I777)-M777,1))</f>
        <v/>
      </c>
      <c r="O777" s="17"/>
      <c r="P777" s="17"/>
      <c r="Q777" s="17"/>
    </row>
    <row r="778" customFormat="false" ht="15" hidden="false" customHeight="true" outlineLevel="0" collapsed="false">
      <c r="A778" s="17"/>
      <c r="B778" s="17"/>
      <c r="C778" s="17"/>
      <c r="D778" s="17"/>
      <c r="E778" s="17"/>
      <c r="F778" s="17"/>
      <c r="G778" s="17"/>
      <c r="H778" s="17"/>
      <c r="I778" s="17"/>
      <c r="J778" s="6" t="str">
        <f aca="false">IF(F778="","",IF(AND(F778&gt;=4,G778&gt;=4,H778&gt;=4,I778&gt;=4),"Proficient",IF(AND(F778&lt;=2,G778&lt;=2,H778&lt;=2,I778&lt;=2),"Emerging","Progressing")))</f>
        <v/>
      </c>
      <c r="K778" s="6" t="str">
        <f aca="false">IF(F778="","",IF(J778="Proficient","Yes","No"))</f>
        <v/>
      </c>
      <c r="L778" s="6" t="str">
        <f aca="false">IF(F778="","",INDEX({"Listening","Speaking","Reading","Writing"},MATCH(MIN(F778:I778),F778:I778,0)))</f>
        <v/>
      </c>
      <c r="M778" s="17"/>
      <c r="N778" s="6" t="str">
        <f aca="false">IF(OR(F778="",M778=""),"",ROUND(AVERAGE(F778:I778)-M778,1))</f>
        <v/>
      </c>
      <c r="O778" s="17"/>
      <c r="P778" s="17"/>
      <c r="Q778" s="17"/>
    </row>
    <row r="779" customFormat="false" ht="15" hidden="false" customHeight="true" outlineLevel="0" collapsed="false">
      <c r="A779" s="17"/>
      <c r="B779" s="17"/>
      <c r="C779" s="17"/>
      <c r="D779" s="17"/>
      <c r="E779" s="17"/>
      <c r="F779" s="17"/>
      <c r="G779" s="17"/>
      <c r="H779" s="17"/>
      <c r="I779" s="17"/>
      <c r="J779" s="6" t="str">
        <f aca="false">IF(F779="","",IF(AND(F779&gt;=4,G779&gt;=4,H779&gt;=4,I779&gt;=4),"Proficient",IF(AND(F779&lt;=2,G779&lt;=2,H779&lt;=2,I779&lt;=2),"Emerging","Progressing")))</f>
        <v/>
      </c>
      <c r="K779" s="6" t="str">
        <f aca="false">IF(F779="","",IF(J779="Proficient","Yes","No"))</f>
        <v/>
      </c>
      <c r="L779" s="6" t="str">
        <f aca="false">IF(F779="","",INDEX({"Listening","Speaking","Reading","Writing"},MATCH(MIN(F779:I779),F779:I779,0)))</f>
        <v/>
      </c>
      <c r="M779" s="17"/>
      <c r="N779" s="6" t="str">
        <f aca="false">IF(OR(F779="",M779=""),"",ROUND(AVERAGE(F779:I779)-M779,1))</f>
        <v/>
      </c>
      <c r="O779" s="17"/>
      <c r="P779" s="17"/>
      <c r="Q779" s="17"/>
    </row>
    <row r="780" customFormat="false" ht="15" hidden="false" customHeight="true" outlineLevel="0" collapsed="false">
      <c r="A780" s="17"/>
      <c r="B780" s="17"/>
      <c r="C780" s="17"/>
      <c r="D780" s="17"/>
      <c r="E780" s="17"/>
      <c r="F780" s="17"/>
      <c r="G780" s="17"/>
      <c r="H780" s="17"/>
      <c r="I780" s="17"/>
      <c r="J780" s="6" t="str">
        <f aca="false">IF(F780="","",IF(AND(F780&gt;=4,G780&gt;=4,H780&gt;=4,I780&gt;=4),"Proficient",IF(AND(F780&lt;=2,G780&lt;=2,H780&lt;=2,I780&lt;=2),"Emerging","Progressing")))</f>
        <v/>
      </c>
      <c r="K780" s="6" t="str">
        <f aca="false">IF(F780="","",IF(J780="Proficient","Yes","No"))</f>
        <v/>
      </c>
      <c r="L780" s="6" t="str">
        <f aca="false">IF(F780="","",INDEX({"Listening","Speaking","Reading","Writing"},MATCH(MIN(F780:I780),F780:I780,0)))</f>
        <v/>
      </c>
      <c r="M780" s="17"/>
      <c r="N780" s="6" t="str">
        <f aca="false">IF(OR(F780="",M780=""),"",ROUND(AVERAGE(F780:I780)-M780,1))</f>
        <v/>
      </c>
      <c r="O780" s="17"/>
      <c r="P780" s="17"/>
      <c r="Q780" s="17"/>
    </row>
    <row r="781" customFormat="false" ht="15" hidden="false" customHeight="true" outlineLevel="0" collapsed="false">
      <c r="A781" s="17"/>
      <c r="B781" s="17"/>
      <c r="C781" s="17"/>
      <c r="D781" s="17"/>
      <c r="E781" s="17"/>
      <c r="F781" s="17"/>
      <c r="G781" s="17"/>
      <c r="H781" s="17"/>
      <c r="I781" s="17"/>
      <c r="J781" s="6" t="str">
        <f aca="false">IF(F781="","",IF(AND(F781&gt;=4,G781&gt;=4,H781&gt;=4,I781&gt;=4),"Proficient",IF(AND(F781&lt;=2,G781&lt;=2,H781&lt;=2,I781&lt;=2),"Emerging","Progressing")))</f>
        <v/>
      </c>
      <c r="K781" s="6" t="str">
        <f aca="false">IF(F781="","",IF(J781="Proficient","Yes","No"))</f>
        <v/>
      </c>
      <c r="L781" s="6" t="str">
        <f aca="false">IF(F781="","",INDEX({"Listening","Speaking","Reading","Writing"},MATCH(MIN(F781:I781),F781:I781,0)))</f>
        <v/>
      </c>
      <c r="M781" s="17"/>
      <c r="N781" s="6" t="str">
        <f aca="false">IF(OR(F781="",M781=""),"",ROUND(AVERAGE(F781:I781)-M781,1))</f>
        <v/>
      </c>
      <c r="O781" s="17"/>
      <c r="P781" s="17"/>
      <c r="Q781" s="17"/>
    </row>
    <row r="782" customFormat="false" ht="15" hidden="false" customHeight="true" outlineLevel="0" collapsed="false">
      <c r="A782" s="17"/>
      <c r="B782" s="17"/>
      <c r="C782" s="17"/>
      <c r="D782" s="17"/>
      <c r="E782" s="17"/>
      <c r="F782" s="17"/>
      <c r="G782" s="17"/>
      <c r="H782" s="17"/>
      <c r="I782" s="17"/>
      <c r="J782" s="6" t="str">
        <f aca="false">IF(F782="","",IF(AND(F782&gt;=4,G782&gt;=4,H782&gt;=4,I782&gt;=4),"Proficient",IF(AND(F782&lt;=2,G782&lt;=2,H782&lt;=2,I782&lt;=2),"Emerging","Progressing")))</f>
        <v/>
      </c>
      <c r="K782" s="6" t="str">
        <f aca="false">IF(F782="","",IF(J782="Proficient","Yes","No"))</f>
        <v/>
      </c>
      <c r="L782" s="6" t="str">
        <f aca="false">IF(F782="","",INDEX({"Listening","Speaking","Reading","Writing"},MATCH(MIN(F782:I782),F782:I782,0)))</f>
        <v/>
      </c>
      <c r="M782" s="17"/>
      <c r="N782" s="6" t="str">
        <f aca="false">IF(OR(F782="",M782=""),"",ROUND(AVERAGE(F782:I782)-M782,1))</f>
        <v/>
      </c>
      <c r="O782" s="17"/>
      <c r="P782" s="17"/>
      <c r="Q782" s="17"/>
    </row>
    <row r="783" customFormat="false" ht="15" hidden="false" customHeight="true" outlineLevel="0" collapsed="false">
      <c r="A783" s="17"/>
      <c r="B783" s="17"/>
      <c r="C783" s="17"/>
      <c r="D783" s="17"/>
      <c r="E783" s="17"/>
      <c r="F783" s="17"/>
      <c r="G783" s="17"/>
      <c r="H783" s="17"/>
      <c r="I783" s="17"/>
      <c r="J783" s="6" t="str">
        <f aca="false">IF(F783="","",IF(AND(F783&gt;=4,G783&gt;=4,H783&gt;=4,I783&gt;=4),"Proficient",IF(AND(F783&lt;=2,G783&lt;=2,H783&lt;=2,I783&lt;=2),"Emerging","Progressing")))</f>
        <v/>
      </c>
      <c r="K783" s="6" t="str">
        <f aca="false">IF(F783="","",IF(J783="Proficient","Yes","No"))</f>
        <v/>
      </c>
      <c r="L783" s="6" t="str">
        <f aca="false">IF(F783="","",INDEX({"Listening","Speaking","Reading","Writing"},MATCH(MIN(F783:I783),F783:I783,0)))</f>
        <v/>
      </c>
      <c r="M783" s="17"/>
      <c r="N783" s="6" t="str">
        <f aca="false">IF(OR(F783="",M783=""),"",ROUND(AVERAGE(F783:I783)-M783,1))</f>
        <v/>
      </c>
      <c r="O783" s="17"/>
      <c r="P783" s="17"/>
      <c r="Q783" s="17"/>
    </row>
    <row r="784" customFormat="false" ht="15" hidden="false" customHeight="true" outlineLevel="0" collapsed="false">
      <c r="A784" s="17"/>
      <c r="B784" s="17"/>
      <c r="C784" s="17"/>
      <c r="D784" s="17"/>
      <c r="E784" s="17"/>
      <c r="F784" s="17"/>
      <c r="G784" s="17"/>
      <c r="H784" s="17"/>
      <c r="I784" s="17"/>
      <c r="J784" s="6" t="str">
        <f aca="false">IF(F784="","",IF(AND(F784&gt;=4,G784&gt;=4,H784&gt;=4,I784&gt;=4),"Proficient",IF(AND(F784&lt;=2,G784&lt;=2,H784&lt;=2,I784&lt;=2),"Emerging","Progressing")))</f>
        <v/>
      </c>
      <c r="K784" s="6" t="str">
        <f aca="false">IF(F784="","",IF(J784="Proficient","Yes","No"))</f>
        <v/>
      </c>
      <c r="L784" s="6" t="str">
        <f aca="false">IF(F784="","",INDEX({"Listening","Speaking","Reading","Writing"},MATCH(MIN(F784:I784),F784:I784,0)))</f>
        <v/>
      </c>
      <c r="M784" s="17"/>
      <c r="N784" s="6" t="str">
        <f aca="false">IF(OR(F784="",M784=""),"",ROUND(AVERAGE(F784:I784)-M784,1))</f>
        <v/>
      </c>
      <c r="O784" s="17"/>
      <c r="P784" s="17"/>
      <c r="Q784" s="17"/>
    </row>
    <row r="785" customFormat="false" ht="15" hidden="false" customHeight="true" outlineLevel="0" collapsed="false">
      <c r="A785" s="17"/>
      <c r="B785" s="17"/>
      <c r="C785" s="17"/>
      <c r="D785" s="17"/>
      <c r="E785" s="17"/>
      <c r="F785" s="17"/>
      <c r="G785" s="17"/>
      <c r="H785" s="17"/>
      <c r="I785" s="17"/>
      <c r="J785" s="6" t="str">
        <f aca="false">IF(F785="","",IF(AND(F785&gt;=4,G785&gt;=4,H785&gt;=4,I785&gt;=4),"Proficient",IF(AND(F785&lt;=2,G785&lt;=2,H785&lt;=2,I785&lt;=2),"Emerging","Progressing")))</f>
        <v/>
      </c>
      <c r="K785" s="6" t="str">
        <f aca="false">IF(F785="","",IF(J785="Proficient","Yes","No"))</f>
        <v/>
      </c>
      <c r="L785" s="6" t="str">
        <f aca="false">IF(F785="","",INDEX({"Listening","Speaking","Reading","Writing"},MATCH(MIN(F785:I785),F785:I785,0)))</f>
        <v/>
      </c>
      <c r="M785" s="17"/>
      <c r="N785" s="6" t="str">
        <f aca="false">IF(OR(F785="",M785=""),"",ROUND(AVERAGE(F785:I785)-M785,1))</f>
        <v/>
      </c>
      <c r="O785" s="17"/>
      <c r="P785" s="17"/>
      <c r="Q785" s="17"/>
    </row>
    <row r="786" customFormat="false" ht="15" hidden="false" customHeight="true" outlineLevel="0" collapsed="false">
      <c r="A786" s="17"/>
      <c r="B786" s="17"/>
      <c r="C786" s="17"/>
      <c r="D786" s="17"/>
      <c r="E786" s="17"/>
      <c r="F786" s="17"/>
      <c r="G786" s="17"/>
      <c r="H786" s="17"/>
      <c r="I786" s="17"/>
      <c r="J786" s="6" t="str">
        <f aca="false">IF(F786="","",IF(AND(F786&gt;=4,G786&gt;=4,H786&gt;=4,I786&gt;=4),"Proficient",IF(AND(F786&lt;=2,G786&lt;=2,H786&lt;=2,I786&lt;=2),"Emerging","Progressing")))</f>
        <v/>
      </c>
      <c r="K786" s="6" t="str">
        <f aca="false">IF(F786="","",IF(J786="Proficient","Yes","No"))</f>
        <v/>
      </c>
      <c r="L786" s="6" t="str">
        <f aca="false">IF(F786="","",INDEX({"Listening","Speaking","Reading","Writing"},MATCH(MIN(F786:I786),F786:I786,0)))</f>
        <v/>
      </c>
      <c r="M786" s="17"/>
      <c r="N786" s="6" t="str">
        <f aca="false">IF(OR(F786="",M786=""),"",ROUND(AVERAGE(F786:I786)-M786,1))</f>
        <v/>
      </c>
      <c r="O786" s="17"/>
      <c r="P786" s="17"/>
      <c r="Q786" s="17"/>
    </row>
    <row r="787" customFormat="false" ht="15" hidden="false" customHeight="true" outlineLevel="0" collapsed="false">
      <c r="A787" s="17"/>
      <c r="B787" s="17"/>
      <c r="C787" s="17"/>
      <c r="D787" s="17"/>
      <c r="E787" s="17"/>
      <c r="F787" s="17"/>
      <c r="G787" s="17"/>
      <c r="H787" s="17"/>
      <c r="I787" s="17"/>
      <c r="J787" s="6" t="str">
        <f aca="false">IF(F787="","",IF(AND(F787&gt;=4,G787&gt;=4,H787&gt;=4,I787&gt;=4),"Proficient",IF(AND(F787&lt;=2,G787&lt;=2,H787&lt;=2,I787&lt;=2),"Emerging","Progressing")))</f>
        <v/>
      </c>
      <c r="K787" s="6" t="str">
        <f aca="false">IF(F787="","",IF(J787="Proficient","Yes","No"))</f>
        <v/>
      </c>
      <c r="L787" s="6" t="str">
        <f aca="false">IF(F787="","",INDEX({"Listening","Speaking","Reading","Writing"},MATCH(MIN(F787:I787),F787:I787,0)))</f>
        <v/>
      </c>
      <c r="M787" s="17"/>
      <c r="N787" s="6" t="str">
        <f aca="false">IF(OR(F787="",M787=""),"",ROUND(AVERAGE(F787:I787)-M787,1))</f>
        <v/>
      </c>
      <c r="O787" s="17"/>
      <c r="P787" s="17"/>
      <c r="Q787" s="17"/>
    </row>
    <row r="788" customFormat="false" ht="15" hidden="false" customHeight="true" outlineLevel="0" collapsed="false">
      <c r="A788" s="17"/>
      <c r="B788" s="17"/>
      <c r="C788" s="17"/>
      <c r="D788" s="17"/>
      <c r="E788" s="17"/>
      <c r="F788" s="17"/>
      <c r="G788" s="17"/>
      <c r="H788" s="17"/>
      <c r="I788" s="17"/>
      <c r="J788" s="6" t="str">
        <f aca="false">IF(F788="","",IF(AND(F788&gt;=4,G788&gt;=4,H788&gt;=4,I788&gt;=4),"Proficient",IF(AND(F788&lt;=2,G788&lt;=2,H788&lt;=2,I788&lt;=2),"Emerging","Progressing")))</f>
        <v/>
      </c>
      <c r="K788" s="6" t="str">
        <f aca="false">IF(F788="","",IF(J788="Proficient","Yes","No"))</f>
        <v/>
      </c>
      <c r="L788" s="6" t="str">
        <f aca="false">IF(F788="","",INDEX({"Listening","Speaking","Reading","Writing"},MATCH(MIN(F788:I788),F788:I788,0)))</f>
        <v/>
      </c>
      <c r="M788" s="17"/>
      <c r="N788" s="6" t="str">
        <f aca="false">IF(OR(F788="",M788=""),"",ROUND(AVERAGE(F788:I788)-M788,1))</f>
        <v/>
      </c>
      <c r="O788" s="17"/>
      <c r="P788" s="17"/>
      <c r="Q788" s="17"/>
    </row>
    <row r="789" customFormat="false" ht="15" hidden="false" customHeight="true" outlineLevel="0" collapsed="false">
      <c r="A789" s="17"/>
      <c r="B789" s="17"/>
      <c r="C789" s="17"/>
      <c r="D789" s="17"/>
      <c r="E789" s="17"/>
      <c r="F789" s="17"/>
      <c r="G789" s="17"/>
      <c r="H789" s="17"/>
      <c r="I789" s="17"/>
      <c r="J789" s="6" t="str">
        <f aca="false">IF(F789="","",IF(AND(F789&gt;=4,G789&gt;=4,H789&gt;=4,I789&gt;=4),"Proficient",IF(AND(F789&lt;=2,G789&lt;=2,H789&lt;=2,I789&lt;=2),"Emerging","Progressing")))</f>
        <v/>
      </c>
      <c r="K789" s="6" t="str">
        <f aca="false">IF(F789="","",IF(J789="Proficient","Yes","No"))</f>
        <v/>
      </c>
      <c r="L789" s="6" t="str">
        <f aca="false">IF(F789="","",INDEX({"Listening","Speaking","Reading","Writing"},MATCH(MIN(F789:I789),F789:I789,0)))</f>
        <v/>
      </c>
      <c r="M789" s="17"/>
      <c r="N789" s="6" t="str">
        <f aca="false">IF(OR(F789="",M789=""),"",ROUND(AVERAGE(F789:I789)-M789,1))</f>
        <v/>
      </c>
      <c r="O789" s="17"/>
      <c r="P789" s="17"/>
      <c r="Q789" s="17"/>
    </row>
    <row r="790" customFormat="false" ht="15" hidden="false" customHeight="true" outlineLevel="0" collapsed="false">
      <c r="A790" s="17"/>
      <c r="B790" s="17"/>
      <c r="C790" s="17"/>
      <c r="D790" s="17"/>
      <c r="E790" s="17"/>
      <c r="F790" s="17"/>
      <c r="G790" s="17"/>
      <c r="H790" s="17"/>
      <c r="I790" s="17"/>
      <c r="J790" s="6" t="str">
        <f aca="false">IF(F790="","",IF(AND(F790&gt;=4,G790&gt;=4,H790&gt;=4,I790&gt;=4),"Proficient",IF(AND(F790&lt;=2,G790&lt;=2,H790&lt;=2,I790&lt;=2),"Emerging","Progressing")))</f>
        <v/>
      </c>
      <c r="K790" s="6" t="str">
        <f aca="false">IF(F790="","",IF(J790="Proficient","Yes","No"))</f>
        <v/>
      </c>
      <c r="L790" s="6" t="str">
        <f aca="false">IF(F790="","",INDEX({"Listening","Speaking","Reading","Writing"},MATCH(MIN(F790:I790),F790:I790,0)))</f>
        <v/>
      </c>
      <c r="M790" s="17"/>
      <c r="N790" s="6" t="str">
        <f aca="false">IF(OR(F790="",M790=""),"",ROUND(AVERAGE(F790:I790)-M790,1))</f>
        <v/>
      </c>
      <c r="O790" s="17"/>
      <c r="P790" s="17"/>
      <c r="Q790" s="17"/>
    </row>
    <row r="791" customFormat="false" ht="15" hidden="false" customHeight="true" outlineLevel="0" collapsed="false">
      <c r="A791" s="17"/>
      <c r="B791" s="17"/>
      <c r="C791" s="17"/>
      <c r="D791" s="17"/>
      <c r="E791" s="17"/>
      <c r="F791" s="17"/>
      <c r="G791" s="17"/>
      <c r="H791" s="17"/>
      <c r="I791" s="17"/>
      <c r="J791" s="6" t="str">
        <f aca="false">IF(F791="","",IF(AND(F791&gt;=4,G791&gt;=4,H791&gt;=4,I791&gt;=4),"Proficient",IF(AND(F791&lt;=2,G791&lt;=2,H791&lt;=2,I791&lt;=2),"Emerging","Progressing")))</f>
        <v/>
      </c>
      <c r="K791" s="6" t="str">
        <f aca="false">IF(F791="","",IF(J791="Proficient","Yes","No"))</f>
        <v/>
      </c>
      <c r="L791" s="6" t="str">
        <f aca="false">IF(F791="","",INDEX({"Listening","Speaking","Reading","Writing"},MATCH(MIN(F791:I791),F791:I791,0)))</f>
        <v/>
      </c>
      <c r="M791" s="17"/>
      <c r="N791" s="6" t="str">
        <f aca="false">IF(OR(F791="",M791=""),"",ROUND(AVERAGE(F791:I791)-M791,1))</f>
        <v/>
      </c>
      <c r="O791" s="17"/>
      <c r="P791" s="17"/>
      <c r="Q791" s="17"/>
    </row>
    <row r="792" customFormat="false" ht="15" hidden="false" customHeight="true" outlineLevel="0" collapsed="false">
      <c r="A792" s="17"/>
      <c r="B792" s="17"/>
      <c r="C792" s="17"/>
      <c r="D792" s="17"/>
      <c r="E792" s="17"/>
      <c r="F792" s="17"/>
      <c r="G792" s="17"/>
      <c r="H792" s="17"/>
      <c r="I792" s="17"/>
      <c r="J792" s="6" t="str">
        <f aca="false">IF(F792="","",IF(AND(F792&gt;=4,G792&gt;=4,H792&gt;=4,I792&gt;=4),"Proficient",IF(AND(F792&lt;=2,G792&lt;=2,H792&lt;=2,I792&lt;=2),"Emerging","Progressing")))</f>
        <v/>
      </c>
      <c r="K792" s="6" t="str">
        <f aca="false">IF(F792="","",IF(J792="Proficient","Yes","No"))</f>
        <v/>
      </c>
      <c r="L792" s="6" t="str">
        <f aca="false">IF(F792="","",INDEX({"Listening","Speaking","Reading","Writing"},MATCH(MIN(F792:I792),F792:I792,0)))</f>
        <v/>
      </c>
      <c r="M792" s="17"/>
      <c r="N792" s="6" t="str">
        <f aca="false">IF(OR(F792="",M792=""),"",ROUND(AVERAGE(F792:I792)-M792,1))</f>
        <v/>
      </c>
      <c r="O792" s="17"/>
      <c r="P792" s="17"/>
      <c r="Q792" s="17"/>
    </row>
    <row r="793" customFormat="false" ht="15" hidden="false" customHeight="true" outlineLevel="0" collapsed="false">
      <c r="A793" s="17"/>
      <c r="B793" s="17"/>
      <c r="C793" s="17"/>
      <c r="D793" s="17"/>
      <c r="E793" s="17"/>
      <c r="F793" s="17"/>
      <c r="G793" s="17"/>
      <c r="H793" s="17"/>
      <c r="I793" s="17"/>
      <c r="J793" s="6" t="str">
        <f aca="false">IF(F793="","",IF(AND(F793&gt;=4,G793&gt;=4,H793&gt;=4,I793&gt;=4),"Proficient",IF(AND(F793&lt;=2,G793&lt;=2,H793&lt;=2,I793&lt;=2),"Emerging","Progressing")))</f>
        <v/>
      </c>
      <c r="K793" s="6" t="str">
        <f aca="false">IF(F793="","",IF(J793="Proficient","Yes","No"))</f>
        <v/>
      </c>
      <c r="L793" s="6" t="str">
        <f aca="false">IF(F793="","",INDEX({"Listening","Speaking","Reading","Writing"},MATCH(MIN(F793:I793),F793:I793,0)))</f>
        <v/>
      </c>
      <c r="M793" s="17"/>
      <c r="N793" s="6" t="str">
        <f aca="false">IF(OR(F793="",M793=""),"",ROUND(AVERAGE(F793:I793)-M793,1))</f>
        <v/>
      </c>
      <c r="O793" s="17"/>
      <c r="P793" s="17"/>
      <c r="Q793" s="17"/>
    </row>
    <row r="794" customFormat="false" ht="15" hidden="false" customHeight="true" outlineLevel="0" collapsed="false">
      <c r="A794" s="17"/>
      <c r="B794" s="17"/>
      <c r="C794" s="17"/>
      <c r="D794" s="17"/>
      <c r="E794" s="17"/>
      <c r="F794" s="17"/>
      <c r="G794" s="17"/>
      <c r="H794" s="17"/>
      <c r="I794" s="17"/>
      <c r="J794" s="6" t="str">
        <f aca="false">IF(F794="","",IF(AND(F794&gt;=4,G794&gt;=4,H794&gt;=4,I794&gt;=4),"Proficient",IF(AND(F794&lt;=2,G794&lt;=2,H794&lt;=2,I794&lt;=2),"Emerging","Progressing")))</f>
        <v/>
      </c>
      <c r="K794" s="6" t="str">
        <f aca="false">IF(F794="","",IF(J794="Proficient","Yes","No"))</f>
        <v/>
      </c>
      <c r="L794" s="6" t="str">
        <f aca="false">IF(F794="","",INDEX({"Listening","Speaking","Reading","Writing"},MATCH(MIN(F794:I794),F794:I794,0)))</f>
        <v/>
      </c>
      <c r="M794" s="17"/>
      <c r="N794" s="6" t="str">
        <f aca="false">IF(OR(F794="",M794=""),"",ROUND(AVERAGE(F794:I794)-M794,1))</f>
        <v/>
      </c>
      <c r="O794" s="17"/>
      <c r="P794" s="17"/>
      <c r="Q794" s="17"/>
    </row>
    <row r="795" customFormat="false" ht="15" hidden="false" customHeight="true" outlineLevel="0" collapsed="false">
      <c r="A795" s="17"/>
      <c r="B795" s="17"/>
      <c r="C795" s="17"/>
      <c r="D795" s="17"/>
      <c r="E795" s="17"/>
      <c r="F795" s="17"/>
      <c r="G795" s="17"/>
      <c r="H795" s="17"/>
      <c r="I795" s="17"/>
      <c r="J795" s="6" t="str">
        <f aca="false">IF(F795="","",IF(AND(F795&gt;=4,G795&gt;=4,H795&gt;=4,I795&gt;=4),"Proficient",IF(AND(F795&lt;=2,G795&lt;=2,H795&lt;=2,I795&lt;=2),"Emerging","Progressing")))</f>
        <v/>
      </c>
      <c r="K795" s="6" t="str">
        <f aca="false">IF(F795="","",IF(J795="Proficient","Yes","No"))</f>
        <v/>
      </c>
      <c r="L795" s="6" t="str">
        <f aca="false">IF(F795="","",INDEX({"Listening","Speaking","Reading","Writing"},MATCH(MIN(F795:I795),F795:I795,0)))</f>
        <v/>
      </c>
      <c r="M795" s="17"/>
      <c r="N795" s="6" t="str">
        <f aca="false">IF(OR(F795="",M795=""),"",ROUND(AVERAGE(F795:I795)-M795,1))</f>
        <v/>
      </c>
      <c r="O795" s="17"/>
      <c r="P795" s="17"/>
      <c r="Q795" s="17"/>
    </row>
    <row r="796" customFormat="false" ht="15" hidden="false" customHeight="true" outlineLevel="0" collapsed="false">
      <c r="A796" s="17"/>
      <c r="B796" s="17"/>
      <c r="C796" s="17"/>
      <c r="D796" s="17"/>
      <c r="E796" s="17"/>
      <c r="F796" s="17"/>
      <c r="G796" s="17"/>
      <c r="H796" s="17"/>
      <c r="I796" s="17"/>
      <c r="J796" s="6" t="str">
        <f aca="false">IF(F796="","",IF(AND(F796&gt;=4,G796&gt;=4,H796&gt;=4,I796&gt;=4),"Proficient",IF(AND(F796&lt;=2,G796&lt;=2,H796&lt;=2,I796&lt;=2),"Emerging","Progressing")))</f>
        <v/>
      </c>
      <c r="K796" s="6" t="str">
        <f aca="false">IF(F796="","",IF(J796="Proficient","Yes","No"))</f>
        <v/>
      </c>
      <c r="L796" s="6" t="str">
        <f aca="false">IF(F796="","",INDEX({"Listening","Speaking","Reading","Writing"},MATCH(MIN(F796:I796),F796:I796,0)))</f>
        <v/>
      </c>
      <c r="M796" s="17"/>
      <c r="N796" s="6" t="str">
        <f aca="false">IF(OR(F796="",M796=""),"",ROUND(AVERAGE(F796:I796)-M796,1))</f>
        <v/>
      </c>
      <c r="O796" s="17"/>
      <c r="P796" s="17"/>
      <c r="Q796" s="17"/>
    </row>
    <row r="797" customFormat="false" ht="15" hidden="false" customHeight="true" outlineLevel="0" collapsed="false">
      <c r="A797" s="17"/>
      <c r="B797" s="17"/>
      <c r="C797" s="17"/>
      <c r="D797" s="17"/>
      <c r="E797" s="17"/>
      <c r="F797" s="17"/>
      <c r="G797" s="17"/>
      <c r="H797" s="17"/>
      <c r="I797" s="17"/>
      <c r="J797" s="6" t="str">
        <f aca="false">IF(F797="","",IF(AND(F797&gt;=4,G797&gt;=4,H797&gt;=4,I797&gt;=4),"Proficient",IF(AND(F797&lt;=2,G797&lt;=2,H797&lt;=2,I797&lt;=2),"Emerging","Progressing")))</f>
        <v/>
      </c>
      <c r="K797" s="6" t="str">
        <f aca="false">IF(F797="","",IF(J797="Proficient","Yes","No"))</f>
        <v/>
      </c>
      <c r="L797" s="6" t="str">
        <f aca="false">IF(F797="","",INDEX({"Listening","Speaking","Reading","Writing"},MATCH(MIN(F797:I797),F797:I797,0)))</f>
        <v/>
      </c>
      <c r="M797" s="17"/>
      <c r="N797" s="6" t="str">
        <f aca="false">IF(OR(F797="",M797=""),"",ROUND(AVERAGE(F797:I797)-M797,1))</f>
        <v/>
      </c>
      <c r="O797" s="17"/>
      <c r="P797" s="17"/>
      <c r="Q797" s="17"/>
    </row>
    <row r="798" customFormat="false" ht="15" hidden="false" customHeight="true" outlineLevel="0" collapsed="false">
      <c r="A798" s="17"/>
      <c r="B798" s="17"/>
      <c r="C798" s="17"/>
      <c r="D798" s="17"/>
      <c r="E798" s="17"/>
      <c r="F798" s="17"/>
      <c r="G798" s="17"/>
      <c r="H798" s="17"/>
      <c r="I798" s="17"/>
      <c r="J798" s="6" t="str">
        <f aca="false">IF(F798="","",IF(AND(F798&gt;=4,G798&gt;=4,H798&gt;=4,I798&gt;=4),"Proficient",IF(AND(F798&lt;=2,G798&lt;=2,H798&lt;=2,I798&lt;=2),"Emerging","Progressing")))</f>
        <v/>
      </c>
      <c r="K798" s="6" t="str">
        <f aca="false">IF(F798="","",IF(J798="Proficient","Yes","No"))</f>
        <v/>
      </c>
      <c r="L798" s="6" t="str">
        <f aca="false">IF(F798="","",INDEX({"Listening","Speaking","Reading","Writing"},MATCH(MIN(F798:I798),F798:I798,0)))</f>
        <v/>
      </c>
      <c r="M798" s="17"/>
      <c r="N798" s="6" t="str">
        <f aca="false">IF(OR(F798="",M798=""),"",ROUND(AVERAGE(F798:I798)-M798,1))</f>
        <v/>
      </c>
      <c r="O798" s="17"/>
      <c r="P798" s="17"/>
      <c r="Q798" s="17"/>
    </row>
    <row r="799" customFormat="false" ht="15" hidden="false" customHeight="true" outlineLevel="0" collapsed="false">
      <c r="A799" s="17"/>
      <c r="B799" s="17"/>
      <c r="C799" s="17"/>
      <c r="D799" s="17"/>
      <c r="E799" s="17"/>
      <c r="F799" s="17"/>
      <c r="G799" s="17"/>
      <c r="H799" s="17"/>
      <c r="I799" s="17"/>
      <c r="J799" s="6" t="str">
        <f aca="false">IF(F799="","",IF(AND(F799&gt;=4,G799&gt;=4,H799&gt;=4,I799&gt;=4),"Proficient",IF(AND(F799&lt;=2,G799&lt;=2,H799&lt;=2,I799&lt;=2),"Emerging","Progressing")))</f>
        <v/>
      </c>
      <c r="K799" s="6" t="str">
        <f aca="false">IF(F799="","",IF(J799="Proficient","Yes","No"))</f>
        <v/>
      </c>
      <c r="L799" s="6" t="str">
        <f aca="false">IF(F799="","",INDEX({"Listening","Speaking","Reading","Writing"},MATCH(MIN(F799:I799),F799:I799,0)))</f>
        <v/>
      </c>
      <c r="M799" s="17"/>
      <c r="N799" s="6" t="str">
        <f aca="false">IF(OR(F799="",M799=""),"",ROUND(AVERAGE(F799:I799)-M799,1))</f>
        <v/>
      </c>
      <c r="O799" s="17"/>
      <c r="P799" s="17"/>
      <c r="Q799" s="17"/>
    </row>
    <row r="800" customFormat="false" ht="15" hidden="false" customHeight="true" outlineLevel="0" collapsed="false">
      <c r="A800" s="17"/>
      <c r="B800" s="17"/>
      <c r="C800" s="17"/>
      <c r="D800" s="17"/>
      <c r="E800" s="17"/>
      <c r="F800" s="17"/>
      <c r="G800" s="17"/>
      <c r="H800" s="17"/>
      <c r="I800" s="17"/>
      <c r="J800" s="6" t="str">
        <f aca="false">IF(F800="","",IF(AND(F800&gt;=4,G800&gt;=4,H800&gt;=4,I800&gt;=4),"Proficient",IF(AND(F800&lt;=2,G800&lt;=2,H800&lt;=2,I800&lt;=2),"Emerging","Progressing")))</f>
        <v/>
      </c>
      <c r="K800" s="6" t="str">
        <f aca="false">IF(F800="","",IF(J800="Proficient","Yes","No"))</f>
        <v/>
      </c>
      <c r="L800" s="6" t="str">
        <f aca="false">IF(F800="","",INDEX({"Listening","Speaking","Reading","Writing"},MATCH(MIN(F800:I800),F800:I800,0)))</f>
        <v/>
      </c>
      <c r="M800" s="17"/>
      <c r="N800" s="6" t="str">
        <f aca="false">IF(OR(F800="",M800=""),"",ROUND(AVERAGE(F800:I800)-M800,1))</f>
        <v/>
      </c>
      <c r="O800" s="17"/>
      <c r="P800" s="17"/>
      <c r="Q800" s="17"/>
    </row>
    <row r="801" customFormat="false" ht="15" hidden="false" customHeight="true" outlineLevel="0" collapsed="false">
      <c r="A801" s="17"/>
      <c r="B801" s="17"/>
      <c r="C801" s="17"/>
      <c r="D801" s="17"/>
      <c r="E801" s="17"/>
      <c r="F801" s="17"/>
      <c r="G801" s="17"/>
      <c r="H801" s="17"/>
      <c r="I801" s="17"/>
      <c r="J801" s="6" t="str">
        <f aca="false">IF(F801="","",IF(AND(F801&gt;=4,G801&gt;=4,H801&gt;=4,I801&gt;=4),"Proficient",IF(AND(F801&lt;=2,G801&lt;=2,H801&lt;=2,I801&lt;=2),"Emerging","Progressing")))</f>
        <v/>
      </c>
      <c r="K801" s="6" t="str">
        <f aca="false">IF(F801="","",IF(J801="Proficient","Yes","No"))</f>
        <v/>
      </c>
      <c r="L801" s="6" t="str">
        <f aca="false">IF(F801="","",INDEX({"Listening","Speaking","Reading","Writing"},MATCH(MIN(F801:I801),F801:I801,0)))</f>
        <v/>
      </c>
      <c r="M801" s="17"/>
      <c r="N801" s="6" t="str">
        <f aca="false">IF(OR(F801="",M801=""),"",ROUND(AVERAGE(F801:I801)-M801,1))</f>
        <v/>
      </c>
      <c r="O801" s="17"/>
      <c r="P801" s="17"/>
      <c r="Q801" s="17"/>
    </row>
    <row r="802" customFormat="false" ht="15" hidden="false" customHeight="true" outlineLevel="0" collapsed="false">
      <c r="A802" s="17"/>
      <c r="B802" s="17"/>
      <c r="C802" s="17"/>
      <c r="D802" s="17"/>
      <c r="E802" s="17"/>
      <c r="F802" s="17"/>
      <c r="G802" s="17"/>
      <c r="H802" s="17"/>
      <c r="I802" s="17"/>
      <c r="J802" s="6" t="str">
        <f aca="false">IF(F802="","",IF(AND(F802&gt;=4,G802&gt;=4,H802&gt;=4,I802&gt;=4),"Proficient",IF(AND(F802&lt;=2,G802&lt;=2,H802&lt;=2,I802&lt;=2),"Emerging","Progressing")))</f>
        <v/>
      </c>
      <c r="K802" s="6" t="str">
        <f aca="false">IF(F802="","",IF(J802="Proficient","Yes","No"))</f>
        <v/>
      </c>
      <c r="L802" s="6" t="str">
        <f aca="false">IF(F802="","",INDEX({"Listening","Speaking","Reading","Writing"},MATCH(MIN(F802:I802),F802:I802,0)))</f>
        <v/>
      </c>
      <c r="M802" s="17"/>
      <c r="N802" s="6" t="str">
        <f aca="false">IF(OR(F802="",M802=""),"",ROUND(AVERAGE(F802:I802)-M802,1))</f>
        <v/>
      </c>
      <c r="O802" s="17"/>
      <c r="P802" s="17"/>
      <c r="Q802" s="17"/>
    </row>
    <row r="803" customFormat="false" ht="15" hidden="false" customHeight="true" outlineLevel="0" collapsed="false">
      <c r="A803" s="17"/>
      <c r="B803" s="17"/>
      <c r="C803" s="17"/>
      <c r="D803" s="17"/>
      <c r="E803" s="17"/>
      <c r="F803" s="17"/>
      <c r="G803" s="17"/>
      <c r="H803" s="17"/>
      <c r="I803" s="17"/>
      <c r="J803" s="6" t="str">
        <f aca="false">IF(F803="","",IF(AND(F803&gt;=4,G803&gt;=4,H803&gt;=4,I803&gt;=4),"Proficient",IF(AND(F803&lt;=2,G803&lt;=2,H803&lt;=2,I803&lt;=2),"Emerging","Progressing")))</f>
        <v/>
      </c>
      <c r="K803" s="6" t="str">
        <f aca="false">IF(F803="","",IF(J803="Proficient","Yes","No"))</f>
        <v/>
      </c>
      <c r="L803" s="6" t="str">
        <f aca="false">IF(F803="","",INDEX({"Listening","Speaking","Reading","Writing"},MATCH(MIN(F803:I803),F803:I803,0)))</f>
        <v/>
      </c>
      <c r="M803" s="17"/>
      <c r="N803" s="6" t="str">
        <f aca="false">IF(OR(F803="",M803=""),"",ROUND(AVERAGE(F803:I803)-M803,1))</f>
        <v/>
      </c>
      <c r="O803" s="17"/>
      <c r="P803" s="17"/>
      <c r="Q803" s="17"/>
    </row>
    <row r="804" customFormat="false" ht="15" hidden="false" customHeight="true" outlineLevel="0" collapsed="false">
      <c r="A804" s="17"/>
      <c r="B804" s="17"/>
      <c r="C804" s="17"/>
      <c r="D804" s="17"/>
      <c r="E804" s="17"/>
      <c r="F804" s="17"/>
      <c r="G804" s="17"/>
      <c r="H804" s="17"/>
      <c r="I804" s="17"/>
      <c r="J804" s="6" t="str">
        <f aca="false">IF(F804="","",IF(AND(F804&gt;=4,G804&gt;=4,H804&gt;=4,I804&gt;=4),"Proficient",IF(AND(F804&lt;=2,G804&lt;=2,H804&lt;=2,I804&lt;=2),"Emerging","Progressing")))</f>
        <v/>
      </c>
      <c r="K804" s="6" t="str">
        <f aca="false">IF(F804="","",IF(J804="Proficient","Yes","No"))</f>
        <v/>
      </c>
      <c r="L804" s="6" t="str">
        <f aca="false">IF(F804="","",INDEX({"Listening","Speaking","Reading","Writing"},MATCH(MIN(F804:I804),F804:I804,0)))</f>
        <v/>
      </c>
      <c r="M804" s="17"/>
      <c r="N804" s="6" t="str">
        <f aca="false">IF(OR(F804="",M804=""),"",ROUND(AVERAGE(F804:I804)-M804,1))</f>
        <v/>
      </c>
      <c r="O804" s="17"/>
      <c r="P804" s="17"/>
      <c r="Q804" s="17"/>
    </row>
    <row r="805" customFormat="false" ht="15" hidden="false" customHeight="true" outlineLevel="0" collapsed="false">
      <c r="A805" s="17"/>
      <c r="B805" s="17"/>
      <c r="C805" s="17"/>
      <c r="D805" s="17"/>
      <c r="E805" s="17"/>
      <c r="F805" s="17"/>
      <c r="G805" s="17"/>
      <c r="H805" s="17"/>
      <c r="I805" s="17"/>
      <c r="J805" s="6" t="str">
        <f aca="false">IF(F805="","",IF(AND(F805&gt;=4,G805&gt;=4,H805&gt;=4,I805&gt;=4),"Proficient",IF(AND(F805&lt;=2,G805&lt;=2,H805&lt;=2,I805&lt;=2),"Emerging","Progressing")))</f>
        <v/>
      </c>
      <c r="K805" s="6" t="str">
        <f aca="false">IF(F805="","",IF(J805="Proficient","Yes","No"))</f>
        <v/>
      </c>
      <c r="L805" s="6" t="str">
        <f aca="false">IF(F805="","",INDEX({"Listening","Speaking","Reading","Writing"},MATCH(MIN(F805:I805),F805:I805,0)))</f>
        <v/>
      </c>
      <c r="M805" s="17"/>
      <c r="N805" s="6" t="str">
        <f aca="false">IF(OR(F805="",M805=""),"",ROUND(AVERAGE(F805:I805)-M805,1))</f>
        <v/>
      </c>
      <c r="O805" s="17"/>
      <c r="P805" s="17"/>
      <c r="Q805" s="17"/>
    </row>
    <row r="806" customFormat="false" ht="15" hidden="false" customHeight="true" outlineLevel="0" collapsed="false">
      <c r="A806" s="17"/>
      <c r="B806" s="17"/>
      <c r="C806" s="17"/>
      <c r="D806" s="17"/>
      <c r="E806" s="17"/>
      <c r="F806" s="17"/>
      <c r="G806" s="17"/>
      <c r="H806" s="17"/>
      <c r="I806" s="17"/>
      <c r="J806" s="6" t="str">
        <f aca="false">IF(F806="","",IF(AND(F806&gt;=4,G806&gt;=4,H806&gt;=4,I806&gt;=4),"Proficient",IF(AND(F806&lt;=2,G806&lt;=2,H806&lt;=2,I806&lt;=2),"Emerging","Progressing")))</f>
        <v/>
      </c>
      <c r="K806" s="6" t="str">
        <f aca="false">IF(F806="","",IF(J806="Proficient","Yes","No"))</f>
        <v/>
      </c>
      <c r="L806" s="6" t="str">
        <f aca="false">IF(F806="","",INDEX({"Listening","Speaking","Reading","Writing"},MATCH(MIN(F806:I806),F806:I806,0)))</f>
        <v/>
      </c>
      <c r="M806" s="17"/>
      <c r="N806" s="6" t="str">
        <f aca="false">IF(OR(F806="",M806=""),"",ROUND(AVERAGE(F806:I806)-M806,1))</f>
        <v/>
      </c>
      <c r="O806" s="17"/>
      <c r="P806" s="17"/>
      <c r="Q806" s="17"/>
    </row>
    <row r="807" customFormat="false" ht="15" hidden="false" customHeight="true" outlineLevel="0" collapsed="false">
      <c r="A807" s="17"/>
      <c r="B807" s="17"/>
      <c r="C807" s="17"/>
      <c r="D807" s="17"/>
      <c r="E807" s="17"/>
      <c r="F807" s="17"/>
      <c r="G807" s="17"/>
      <c r="H807" s="17"/>
      <c r="I807" s="17"/>
      <c r="J807" s="6" t="str">
        <f aca="false">IF(F807="","",IF(AND(F807&gt;=4,G807&gt;=4,H807&gt;=4,I807&gt;=4),"Proficient",IF(AND(F807&lt;=2,G807&lt;=2,H807&lt;=2,I807&lt;=2),"Emerging","Progressing")))</f>
        <v/>
      </c>
      <c r="K807" s="6" t="str">
        <f aca="false">IF(F807="","",IF(J807="Proficient","Yes","No"))</f>
        <v/>
      </c>
      <c r="L807" s="6" t="str">
        <f aca="false">IF(F807="","",INDEX({"Listening","Speaking","Reading","Writing"},MATCH(MIN(F807:I807),F807:I807,0)))</f>
        <v/>
      </c>
      <c r="M807" s="17"/>
      <c r="N807" s="6" t="str">
        <f aca="false">IF(OR(F807="",M807=""),"",ROUND(AVERAGE(F807:I807)-M807,1))</f>
        <v/>
      </c>
      <c r="O807" s="17"/>
      <c r="P807" s="17"/>
      <c r="Q807" s="17"/>
    </row>
    <row r="808" customFormat="false" ht="15" hidden="false" customHeight="true" outlineLevel="0" collapsed="false">
      <c r="A808" s="17"/>
      <c r="B808" s="17"/>
      <c r="C808" s="17"/>
      <c r="D808" s="17"/>
      <c r="E808" s="17"/>
      <c r="F808" s="17"/>
      <c r="G808" s="17"/>
      <c r="H808" s="17"/>
      <c r="I808" s="17"/>
      <c r="J808" s="6" t="str">
        <f aca="false">IF(F808="","",IF(AND(F808&gt;=4,G808&gt;=4,H808&gt;=4,I808&gt;=4),"Proficient",IF(AND(F808&lt;=2,G808&lt;=2,H808&lt;=2,I808&lt;=2),"Emerging","Progressing")))</f>
        <v/>
      </c>
      <c r="K808" s="6" t="str">
        <f aca="false">IF(F808="","",IF(J808="Proficient","Yes","No"))</f>
        <v/>
      </c>
      <c r="L808" s="6" t="str">
        <f aca="false">IF(F808="","",INDEX({"Listening","Speaking","Reading","Writing"},MATCH(MIN(F808:I808),F808:I808,0)))</f>
        <v/>
      </c>
      <c r="M808" s="17"/>
      <c r="N808" s="6" t="str">
        <f aca="false">IF(OR(F808="",M808=""),"",ROUND(AVERAGE(F808:I808)-M808,1))</f>
        <v/>
      </c>
      <c r="O808" s="17"/>
      <c r="P808" s="17"/>
      <c r="Q808" s="17"/>
    </row>
    <row r="809" customFormat="false" ht="15" hidden="false" customHeight="true" outlineLevel="0" collapsed="false">
      <c r="A809" s="17"/>
      <c r="B809" s="17"/>
      <c r="C809" s="17"/>
      <c r="D809" s="17"/>
      <c r="E809" s="17"/>
      <c r="F809" s="17"/>
      <c r="G809" s="17"/>
      <c r="H809" s="17"/>
      <c r="I809" s="17"/>
      <c r="J809" s="6" t="str">
        <f aca="false">IF(F809="","",IF(AND(F809&gt;=4,G809&gt;=4,H809&gt;=4,I809&gt;=4),"Proficient",IF(AND(F809&lt;=2,G809&lt;=2,H809&lt;=2,I809&lt;=2),"Emerging","Progressing")))</f>
        <v/>
      </c>
      <c r="K809" s="6" t="str">
        <f aca="false">IF(F809="","",IF(J809="Proficient","Yes","No"))</f>
        <v/>
      </c>
      <c r="L809" s="6" t="str">
        <f aca="false">IF(F809="","",INDEX({"Listening","Speaking","Reading","Writing"},MATCH(MIN(F809:I809),F809:I809,0)))</f>
        <v/>
      </c>
      <c r="M809" s="17"/>
      <c r="N809" s="6" t="str">
        <f aca="false">IF(OR(F809="",M809=""),"",ROUND(AVERAGE(F809:I809)-M809,1))</f>
        <v/>
      </c>
      <c r="O809" s="17"/>
      <c r="P809" s="17"/>
      <c r="Q809" s="17"/>
    </row>
    <row r="810" customFormat="false" ht="15" hidden="false" customHeight="true" outlineLevel="0" collapsed="false">
      <c r="A810" s="17"/>
      <c r="B810" s="17"/>
      <c r="C810" s="17"/>
      <c r="D810" s="17"/>
      <c r="E810" s="17"/>
      <c r="F810" s="17"/>
      <c r="G810" s="17"/>
      <c r="H810" s="17"/>
      <c r="I810" s="17"/>
      <c r="J810" s="6" t="str">
        <f aca="false">IF(F810="","",IF(AND(F810&gt;=4,G810&gt;=4,H810&gt;=4,I810&gt;=4),"Proficient",IF(AND(F810&lt;=2,G810&lt;=2,H810&lt;=2,I810&lt;=2),"Emerging","Progressing")))</f>
        <v/>
      </c>
      <c r="K810" s="6" t="str">
        <f aca="false">IF(F810="","",IF(J810="Proficient","Yes","No"))</f>
        <v/>
      </c>
      <c r="L810" s="6" t="str">
        <f aca="false">IF(F810="","",INDEX({"Listening","Speaking","Reading","Writing"},MATCH(MIN(F810:I810),F810:I810,0)))</f>
        <v/>
      </c>
      <c r="M810" s="17"/>
      <c r="N810" s="6" t="str">
        <f aca="false">IF(OR(F810="",M810=""),"",ROUND(AVERAGE(F810:I810)-M810,1))</f>
        <v/>
      </c>
      <c r="O810" s="17"/>
      <c r="P810" s="17"/>
      <c r="Q810" s="17"/>
    </row>
    <row r="811" customFormat="false" ht="15" hidden="false" customHeight="true" outlineLevel="0" collapsed="false">
      <c r="A811" s="17"/>
      <c r="B811" s="17"/>
      <c r="C811" s="17"/>
      <c r="D811" s="17"/>
      <c r="E811" s="17"/>
      <c r="F811" s="17"/>
      <c r="G811" s="17"/>
      <c r="H811" s="17"/>
      <c r="I811" s="17"/>
      <c r="J811" s="6" t="str">
        <f aca="false">IF(F811="","",IF(AND(F811&gt;=4,G811&gt;=4,H811&gt;=4,I811&gt;=4),"Proficient",IF(AND(F811&lt;=2,G811&lt;=2,H811&lt;=2,I811&lt;=2),"Emerging","Progressing")))</f>
        <v/>
      </c>
      <c r="K811" s="6" t="str">
        <f aca="false">IF(F811="","",IF(J811="Proficient","Yes","No"))</f>
        <v/>
      </c>
      <c r="L811" s="6" t="str">
        <f aca="false">IF(F811="","",INDEX({"Listening","Speaking","Reading","Writing"},MATCH(MIN(F811:I811),F811:I811,0)))</f>
        <v/>
      </c>
      <c r="M811" s="17"/>
      <c r="N811" s="6" t="str">
        <f aca="false">IF(OR(F811="",M811=""),"",ROUND(AVERAGE(F811:I811)-M811,1))</f>
        <v/>
      </c>
      <c r="O811" s="17"/>
      <c r="P811" s="17"/>
      <c r="Q811" s="17"/>
    </row>
    <row r="812" customFormat="false" ht="15" hidden="false" customHeight="true" outlineLevel="0" collapsed="false">
      <c r="A812" s="17"/>
      <c r="B812" s="17"/>
      <c r="C812" s="17"/>
      <c r="D812" s="17"/>
      <c r="E812" s="17"/>
      <c r="F812" s="17"/>
      <c r="G812" s="17"/>
      <c r="H812" s="17"/>
      <c r="I812" s="17"/>
      <c r="J812" s="6" t="str">
        <f aca="false">IF(F812="","",IF(AND(F812&gt;=4,G812&gt;=4,H812&gt;=4,I812&gt;=4),"Proficient",IF(AND(F812&lt;=2,G812&lt;=2,H812&lt;=2,I812&lt;=2),"Emerging","Progressing")))</f>
        <v/>
      </c>
      <c r="K812" s="6" t="str">
        <f aca="false">IF(F812="","",IF(J812="Proficient","Yes","No"))</f>
        <v/>
      </c>
      <c r="L812" s="6" t="str">
        <f aca="false">IF(F812="","",INDEX({"Listening","Speaking","Reading","Writing"},MATCH(MIN(F812:I812),F812:I812,0)))</f>
        <v/>
      </c>
      <c r="M812" s="17"/>
      <c r="N812" s="6" t="str">
        <f aca="false">IF(OR(F812="",M812=""),"",ROUND(AVERAGE(F812:I812)-M812,1))</f>
        <v/>
      </c>
      <c r="O812" s="17"/>
      <c r="P812" s="17"/>
      <c r="Q812" s="17"/>
    </row>
    <row r="813" customFormat="false" ht="15" hidden="false" customHeight="true" outlineLevel="0" collapsed="false">
      <c r="A813" s="17"/>
      <c r="B813" s="17"/>
      <c r="C813" s="17"/>
      <c r="D813" s="17"/>
      <c r="E813" s="17"/>
      <c r="F813" s="17"/>
      <c r="G813" s="17"/>
      <c r="H813" s="17"/>
      <c r="I813" s="17"/>
      <c r="J813" s="6" t="str">
        <f aca="false">IF(F813="","",IF(AND(F813&gt;=4,G813&gt;=4,H813&gt;=4,I813&gt;=4),"Proficient",IF(AND(F813&lt;=2,G813&lt;=2,H813&lt;=2,I813&lt;=2),"Emerging","Progressing")))</f>
        <v/>
      </c>
      <c r="K813" s="6" t="str">
        <f aca="false">IF(F813="","",IF(J813="Proficient","Yes","No"))</f>
        <v/>
      </c>
      <c r="L813" s="6" t="str">
        <f aca="false">IF(F813="","",INDEX({"Listening","Speaking","Reading","Writing"},MATCH(MIN(F813:I813),F813:I813,0)))</f>
        <v/>
      </c>
      <c r="M813" s="17"/>
      <c r="N813" s="6" t="str">
        <f aca="false">IF(OR(F813="",M813=""),"",ROUND(AVERAGE(F813:I813)-M813,1))</f>
        <v/>
      </c>
      <c r="O813" s="17"/>
      <c r="P813" s="17"/>
      <c r="Q813" s="17"/>
    </row>
    <row r="814" customFormat="false" ht="15" hidden="false" customHeight="true" outlineLevel="0" collapsed="false">
      <c r="A814" s="17"/>
      <c r="B814" s="17"/>
      <c r="C814" s="17"/>
      <c r="D814" s="17"/>
      <c r="E814" s="17"/>
      <c r="F814" s="17"/>
      <c r="G814" s="17"/>
      <c r="H814" s="17"/>
      <c r="I814" s="17"/>
      <c r="J814" s="6" t="str">
        <f aca="false">IF(F814="","",IF(AND(F814&gt;=4,G814&gt;=4,H814&gt;=4,I814&gt;=4),"Proficient",IF(AND(F814&lt;=2,G814&lt;=2,H814&lt;=2,I814&lt;=2),"Emerging","Progressing")))</f>
        <v/>
      </c>
      <c r="K814" s="6" t="str">
        <f aca="false">IF(F814="","",IF(J814="Proficient","Yes","No"))</f>
        <v/>
      </c>
      <c r="L814" s="6" t="str">
        <f aca="false">IF(F814="","",INDEX({"Listening","Speaking","Reading","Writing"},MATCH(MIN(F814:I814),F814:I814,0)))</f>
        <v/>
      </c>
      <c r="M814" s="17"/>
      <c r="N814" s="6" t="str">
        <f aca="false">IF(OR(F814="",M814=""),"",ROUND(AVERAGE(F814:I814)-M814,1))</f>
        <v/>
      </c>
      <c r="O814" s="17"/>
      <c r="P814" s="17"/>
      <c r="Q814" s="17"/>
    </row>
    <row r="815" customFormat="false" ht="15" hidden="false" customHeight="true" outlineLevel="0" collapsed="false">
      <c r="A815" s="17"/>
      <c r="B815" s="17"/>
      <c r="C815" s="17"/>
      <c r="D815" s="17"/>
      <c r="E815" s="17"/>
      <c r="F815" s="17"/>
      <c r="G815" s="17"/>
      <c r="H815" s="17"/>
      <c r="I815" s="17"/>
      <c r="J815" s="6" t="str">
        <f aca="false">IF(F815="","",IF(AND(F815&gt;=4,G815&gt;=4,H815&gt;=4,I815&gt;=4),"Proficient",IF(AND(F815&lt;=2,G815&lt;=2,H815&lt;=2,I815&lt;=2),"Emerging","Progressing")))</f>
        <v/>
      </c>
      <c r="K815" s="6" t="str">
        <f aca="false">IF(F815="","",IF(J815="Proficient","Yes","No"))</f>
        <v/>
      </c>
      <c r="L815" s="6" t="str">
        <f aca="false">IF(F815="","",INDEX({"Listening","Speaking","Reading","Writing"},MATCH(MIN(F815:I815),F815:I815,0)))</f>
        <v/>
      </c>
      <c r="M815" s="17"/>
      <c r="N815" s="6" t="str">
        <f aca="false">IF(OR(F815="",M815=""),"",ROUND(AVERAGE(F815:I815)-M815,1))</f>
        <v/>
      </c>
      <c r="O815" s="17"/>
      <c r="P815" s="17"/>
      <c r="Q815" s="17"/>
    </row>
    <row r="816" customFormat="false" ht="15" hidden="false" customHeight="true" outlineLevel="0" collapsed="false">
      <c r="A816" s="17"/>
      <c r="B816" s="17"/>
      <c r="C816" s="17"/>
      <c r="D816" s="17"/>
      <c r="E816" s="17"/>
      <c r="F816" s="17"/>
      <c r="G816" s="17"/>
      <c r="H816" s="17"/>
      <c r="I816" s="17"/>
      <c r="J816" s="6" t="str">
        <f aca="false">IF(F816="","",IF(AND(F816&gt;=4,G816&gt;=4,H816&gt;=4,I816&gt;=4),"Proficient",IF(AND(F816&lt;=2,G816&lt;=2,H816&lt;=2,I816&lt;=2),"Emerging","Progressing")))</f>
        <v/>
      </c>
      <c r="K816" s="6" t="str">
        <f aca="false">IF(F816="","",IF(J816="Proficient","Yes","No"))</f>
        <v/>
      </c>
      <c r="L816" s="6" t="str">
        <f aca="false">IF(F816="","",INDEX({"Listening","Speaking","Reading","Writing"},MATCH(MIN(F816:I816),F816:I816,0)))</f>
        <v/>
      </c>
      <c r="M816" s="17"/>
      <c r="N816" s="6" t="str">
        <f aca="false">IF(OR(F816="",M816=""),"",ROUND(AVERAGE(F816:I816)-M816,1))</f>
        <v/>
      </c>
      <c r="O816" s="17"/>
      <c r="P816" s="17"/>
      <c r="Q816" s="17"/>
    </row>
    <row r="817" customFormat="false" ht="15" hidden="false" customHeight="true" outlineLevel="0" collapsed="false">
      <c r="A817" s="17"/>
      <c r="B817" s="17"/>
      <c r="C817" s="17"/>
      <c r="D817" s="17"/>
      <c r="E817" s="17"/>
      <c r="F817" s="17"/>
      <c r="G817" s="17"/>
      <c r="H817" s="17"/>
      <c r="I817" s="17"/>
      <c r="J817" s="6" t="str">
        <f aca="false">IF(F817="","",IF(AND(F817&gt;=4,G817&gt;=4,H817&gt;=4,I817&gt;=4),"Proficient",IF(AND(F817&lt;=2,G817&lt;=2,H817&lt;=2,I817&lt;=2),"Emerging","Progressing")))</f>
        <v/>
      </c>
      <c r="K817" s="6" t="str">
        <f aca="false">IF(F817="","",IF(J817="Proficient","Yes","No"))</f>
        <v/>
      </c>
      <c r="L817" s="6" t="str">
        <f aca="false">IF(F817="","",INDEX({"Listening","Speaking","Reading","Writing"},MATCH(MIN(F817:I817),F817:I817,0)))</f>
        <v/>
      </c>
      <c r="M817" s="17"/>
      <c r="N817" s="6" t="str">
        <f aca="false">IF(OR(F817="",M817=""),"",ROUND(AVERAGE(F817:I817)-M817,1))</f>
        <v/>
      </c>
      <c r="O817" s="17"/>
      <c r="P817" s="17"/>
      <c r="Q817" s="17"/>
    </row>
    <row r="818" customFormat="false" ht="15" hidden="false" customHeight="true" outlineLevel="0" collapsed="false">
      <c r="A818" s="17"/>
      <c r="B818" s="17"/>
      <c r="C818" s="17"/>
      <c r="D818" s="17"/>
      <c r="E818" s="17"/>
      <c r="F818" s="17"/>
      <c r="G818" s="17"/>
      <c r="H818" s="17"/>
      <c r="I818" s="17"/>
      <c r="J818" s="6" t="str">
        <f aca="false">IF(F818="","",IF(AND(F818&gt;=4,G818&gt;=4,H818&gt;=4,I818&gt;=4),"Proficient",IF(AND(F818&lt;=2,G818&lt;=2,H818&lt;=2,I818&lt;=2),"Emerging","Progressing")))</f>
        <v/>
      </c>
      <c r="K818" s="6" t="str">
        <f aca="false">IF(F818="","",IF(J818="Proficient","Yes","No"))</f>
        <v/>
      </c>
      <c r="L818" s="6" t="str">
        <f aca="false">IF(F818="","",INDEX({"Listening","Speaking","Reading","Writing"},MATCH(MIN(F818:I818),F818:I818,0)))</f>
        <v/>
      </c>
      <c r="M818" s="17"/>
      <c r="N818" s="6" t="str">
        <f aca="false">IF(OR(F818="",M818=""),"",ROUND(AVERAGE(F818:I818)-M818,1))</f>
        <v/>
      </c>
      <c r="O818" s="17"/>
      <c r="P818" s="17"/>
      <c r="Q818" s="17"/>
    </row>
    <row r="819" customFormat="false" ht="15" hidden="false" customHeight="true" outlineLevel="0" collapsed="false">
      <c r="A819" s="17"/>
      <c r="B819" s="17"/>
      <c r="C819" s="17"/>
      <c r="D819" s="17"/>
      <c r="E819" s="17"/>
      <c r="F819" s="17"/>
      <c r="G819" s="17"/>
      <c r="H819" s="17"/>
      <c r="I819" s="17"/>
      <c r="J819" s="6" t="str">
        <f aca="false">IF(F819="","",IF(AND(F819&gt;=4,G819&gt;=4,H819&gt;=4,I819&gt;=4),"Proficient",IF(AND(F819&lt;=2,G819&lt;=2,H819&lt;=2,I819&lt;=2),"Emerging","Progressing")))</f>
        <v/>
      </c>
      <c r="K819" s="6" t="str">
        <f aca="false">IF(F819="","",IF(J819="Proficient","Yes","No"))</f>
        <v/>
      </c>
      <c r="L819" s="6" t="str">
        <f aca="false">IF(F819="","",INDEX({"Listening","Speaking","Reading","Writing"},MATCH(MIN(F819:I819),F819:I819,0)))</f>
        <v/>
      </c>
      <c r="M819" s="17"/>
      <c r="N819" s="6" t="str">
        <f aca="false">IF(OR(F819="",M819=""),"",ROUND(AVERAGE(F819:I819)-M819,1))</f>
        <v/>
      </c>
      <c r="O819" s="17"/>
      <c r="P819" s="17"/>
      <c r="Q819" s="17"/>
    </row>
    <row r="820" customFormat="false" ht="15" hidden="false" customHeight="true" outlineLevel="0" collapsed="false">
      <c r="A820" s="17"/>
      <c r="B820" s="17"/>
      <c r="C820" s="17"/>
      <c r="D820" s="17"/>
      <c r="E820" s="17"/>
      <c r="F820" s="17"/>
      <c r="G820" s="17"/>
      <c r="H820" s="17"/>
      <c r="I820" s="17"/>
      <c r="J820" s="6" t="str">
        <f aca="false">IF(F820="","",IF(AND(F820&gt;=4,G820&gt;=4,H820&gt;=4,I820&gt;=4),"Proficient",IF(AND(F820&lt;=2,G820&lt;=2,H820&lt;=2,I820&lt;=2),"Emerging","Progressing")))</f>
        <v/>
      </c>
      <c r="K820" s="6" t="str">
        <f aca="false">IF(F820="","",IF(J820="Proficient","Yes","No"))</f>
        <v/>
      </c>
      <c r="L820" s="6" t="str">
        <f aca="false">IF(F820="","",INDEX({"Listening","Speaking","Reading","Writing"},MATCH(MIN(F820:I820),F820:I820,0)))</f>
        <v/>
      </c>
      <c r="M820" s="17"/>
      <c r="N820" s="6" t="str">
        <f aca="false">IF(OR(F820="",M820=""),"",ROUND(AVERAGE(F820:I820)-M820,1))</f>
        <v/>
      </c>
      <c r="O820" s="17"/>
      <c r="P820" s="17"/>
      <c r="Q820" s="17"/>
    </row>
    <row r="821" customFormat="false" ht="15" hidden="false" customHeight="true" outlineLevel="0" collapsed="false">
      <c r="A821" s="17"/>
      <c r="B821" s="17"/>
      <c r="C821" s="17"/>
      <c r="D821" s="17"/>
      <c r="E821" s="17"/>
      <c r="F821" s="17"/>
      <c r="G821" s="17"/>
      <c r="H821" s="17"/>
      <c r="I821" s="17"/>
      <c r="J821" s="6" t="str">
        <f aca="false">IF(F821="","",IF(AND(F821&gt;=4,G821&gt;=4,H821&gt;=4,I821&gt;=4),"Proficient",IF(AND(F821&lt;=2,G821&lt;=2,H821&lt;=2,I821&lt;=2),"Emerging","Progressing")))</f>
        <v/>
      </c>
      <c r="K821" s="6" t="str">
        <f aca="false">IF(F821="","",IF(J821="Proficient","Yes","No"))</f>
        <v/>
      </c>
      <c r="L821" s="6" t="str">
        <f aca="false">IF(F821="","",INDEX({"Listening","Speaking","Reading","Writing"},MATCH(MIN(F821:I821),F821:I821,0)))</f>
        <v/>
      </c>
      <c r="M821" s="17"/>
      <c r="N821" s="6" t="str">
        <f aca="false">IF(OR(F821="",M821=""),"",ROUND(AVERAGE(F821:I821)-M821,1))</f>
        <v/>
      </c>
      <c r="O821" s="17"/>
      <c r="P821" s="17"/>
      <c r="Q821" s="17"/>
    </row>
    <row r="822" customFormat="false" ht="15" hidden="false" customHeight="true" outlineLevel="0" collapsed="false">
      <c r="A822" s="17"/>
      <c r="B822" s="17"/>
      <c r="C822" s="17"/>
      <c r="D822" s="17"/>
      <c r="E822" s="17"/>
      <c r="F822" s="17"/>
      <c r="G822" s="17"/>
      <c r="H822" s="17"/>
      <c r="I822" s="17"/>
      <c r="J822" s="6" t="str">
        <f aca="false">IF(F822="","",IF(AND(F822&gt;=4,G822&gt;=4,H822&gt;=4,I822&gt;=4),"Proficient",IF(AND(F822&lt;=2,G822&lt;=2,H822&lt;=2,I822&lt;=2),"Emerging","Progressing")))</f>
        <v/>
      </c>
      <c r="K822" s="6" t="str">
        <f aca="false">IF(F822="","",IF(J822="Proficient","Yes","No"))</f>
        <v/>
      </c>
      <c r="L822" s="6" t="str">
        <f aca="false">IF(F822="","",INDEX({"Listening","Speaking","Reading","Writing"},MATCH(MIN(F822:I822),F822:I822,0)))</f>
        <v/>
      </c>
      <c r="M822" s="17"/>
      <c r="N822" s="6" t="str">
        <f aca="false">IF(OR(F822="",M822=""),"",ROUND(AVERAGE(F822:I822)-M822,1))</f>
        <v/>
      </c>
      <c r="O822" s="17"/>
      <c r="P822" s="17"/>
      <c r="Q822" s="17"/>
    </row>
    <row r="823" customFormat="false" ht="15" hidden="false" customHeight="true" outlineLevel="0" collapsed="false">
      <c r="A823" s="17"/>
      <c r="B823" s="17"/>
      <c r="C823" s="17"/>
      <c r="D823" s="17"/>
      <c r="E823" s="17"/>
      <c r="F823" s="17"/>
      <c r="G823" s="17"/>
      <c r="H823" s="17"/>
      <c r="I823" s="17"/>
      <c r="J823" s="6" t="str">
        <f aca="false">IF(F823="","",IF(AND(F823&gt;=4,G823&gt;=4,H823&gt;=4,I823&gt;=4),"Proficient",IF(AND(F823&lt;=2,G823&lt;=2,H823&lt;=2,I823&lt;=2),"Emerging","Progressing")))</f>
        <v/>
      </c>
      <c r="K823" s="6" t="str">
        <f aca="false">IF(F823="","",IF(J823="Proficient","Yes","No"))</f>
        <v/>
      </c>
      <c r="L823" s="6" t="str">
        <f aca="false">IF(F823="","",INDEX({"Listening","Speaking","Reading","Writing"},MATCH(MIN(F823:I823),F823:I823,0)))</f>
        <v/>
      </c>
      <c r="M823" s="17"/>
      <c r="N823" s="6" t="str">
        <f aca="false">IF(OR(F823="",M823=""),"",ROUND(AVERAGE(F823:I823)-M823,1))</f>
        <v/>
      </c>
      <c r="O823" s="17"/>
      <c r="P823" s="17"/>
      <c r="Q823" s="17"/>
    </row>
    <row r="824" customFormat="false" ht="15" hidden="false" customHeight="true" outlineLevel="0" collapsed="false">
      <c r="A824" s="17"/>
      <c r="B824" s="17"/>
      <c r="C824" s="17"/>
      <c r="D824" s="17"/>
      <c r="E824" s="17"/>
      <c r="F824" s="17"/>
      <c r="G824" s="17"/>
      <c r="H824" s="17"/>
      <c r="I824" s="17"/>
      <c r="J824" s="6" t="str">
        <f aca="false">IF(F824="","",IF(AND(F824&gt;=4,G824&gt;=4,H824&gt;=4,I824&gt;=4),"Proficient",IF(AND(F824&lt;=2,G824&lt;=2,H824&lt;=2,I824&lt;=2),"Emerging","Progressing")))</f>
        <v/>
      </c>
      <c r="K824" s="6" t="str">
        <f aca="false">IF(F824="","",IF(J824="Proficient","Yes","No"))</f>
        <v/>
      </c>
      <c r="L824" s="6" t="str">
        <f aca="false">IF(F824="","",INDEX({"Listening","Speaking","Reading","Writing"},MATCH(MIN(F824:I824),F824:I824,0)))</f>
        <v/>
      </c>
      <c r="M824" s="17"/>
      <c r="N824" s="6" t="str">
        <f aca="false">IF(OR(F824="",M824=""),"",ROUND(AVERAGE(F824:I824)-M824,1))</f>
        <v/>
      </c>
      <c r="O824" s="17"/>
      <c r="P824" s="17"/>
      <c r="Q824" s="17"/>
    </row>
    <row r="825" customFormat="false" ht="15" hidden="false" customHeight="true" outlineLevel="0" collapsed="false">
      <c r="A825" s="17"/>
      <c r="B825" s="17"/>
      <c r="C825" s="17"/>
      <c r="D825" s="17"/>
      <c r="E825" s="17"/>
      <c r="F825" s="17"/>
      <c r="G825" s="17"/>
      <c r="H825" s="17"/>
      <c r="I825" s="17"/>
      <c r="J825" s="6" t="str">
        <f aca="false">IF(F825="","",IF(AND(F825&gt;=4,G825&gt;=4,H825&gt;=4,I825&gt;=4),"Proficient",IF(AND(F825&lt;=2,G825&lt;=2,H825&lt;=2,I825&lt;=2),"Emerging","Progressing")))</f>
        <v/>
      </c>
      <c r="K825" s="6" t="str">
        <f aca="false">IF(F825="","",IF(J825="Proficient","Yes","No"))</f>
        <v/>
      </c>
      <c r="L825" s="6" t="str">
        <f aca="false">IF(F825="","",INDEX({"Listening","Speaking","Reading","Writing"},MATCH(MIN(F825:I825),F825:I825,0)))</f>
        <v/>
      </c>
      <c r="M825" s="17"/>
      <c r="N825" s="6" t="str">
        <f aca="false">IF(OR(F825="",M825=""),"",ROUND(AVERAGE(F825:I825)-M825,1))</f>
        <v/>
      </c>
      <c r="O825" s="17"/>
      <c r="P825" s="17"/>
      <c r="Q825" s="17"/>
    </row>
    <row r="826" customFormat="false" ht="15" hidden="false" customHeight="true" outlineLevel="0" collapsed="false">
      <c r="A826" s="17"/>
      <c r="B826" s="17"/>
      <c r="C826" s="17"/>
      <c r="D826" s="17"/>
      <c r="E826" s="17"/>
      <c r="F826" s="17"/>
      <c r="G826" s="17"/>
      <c r="H826" s="17"/>
      <c r="I826" s="17"/>
      <c r="J826" s="6" t="str">
        <f aca="false">IF(F826="","",IF(AND(F826&gt;=4,G826&gt;=4,H826&gt;=4,I826&gt;=4),"Proficient",IF(AND(F826&lt;=2,G826&lt;=2,H826&lt;=2,I826&lt;=2),"Emerging","Progressing")))</f>
        <v/>
      </c>
      <c r="K826" s="6" t="str">
        <f aca="false">IF(F826="","",IF(J826="Proficient","Yes","No"))</f>
        <v/>
      </c>
      <c r="L826" s="6" t="str">
        <f aca="false">IF(F826="","",INDEX({"Listening","Speaking","Reading","Writing"},MATCH(MIN(F826:I826),F826:I826,0)))</f>
        <v/>
      </c>
      <c r="M826" s="17"/>
      <c r="N826" s="6" t="str">
        <f aca="false">IF(OR(F826="",M826=""),"",ROUND(AVERAGE(F826:I826)-M826,1))</f>
        <v/>
      </c>
      <c r="O826" s="17"/>
      <c r="P826" s="17"/>
      <c r="Q826" s="17"/>
    </row>
    <row r="827" customFormat="false" ht="15" hidden="false" customHeight="true" outlineLevel="0" collapsed="false">
      <c r="A827" s="17"/>
      <c r="B827" s="17"/>
      <c r="C827" s="17"/>
      <c r="D827" s="17"/>
      <c r="E827" s="17"/>
      <c r="F827" s="17"/>
      <c r="G827" s="17"/>
      <c r="H827" s="17"/>
      <c r="I827" s="17"/>
      <c r="J827" s="6" t="str">
        <f aca="false">IF(F827="","",IF(AND(F827&gt;=4,G827&gt;=4,H827&gt;=4,I827&gt;=4),"Proficient",IF(AND(F827&lt;=2,G827&lt;=2,H827&lt;=2,I827&lt;=2),"Emerging","Progressing")))</f>
        <v/>
      </c>
      <c r="K827" s="6" t="str">
        <f aca="false">IF(F827="","",IF(J827="Proficient","Yes","No"))</f>
        <v/>
      </c>
      <c r="L827" s="6" t="str">
        <f aca="false">IF(F827="","",INDEX({"Listening","Speaking","Reading","Writing"},MATCH(MIN(F827:I827),F827:I827,0)))</f>
        <v/>
      </c>
      <c r="M827" s="17"/>
      <c r="N827" s="6" t="str">
        <f aca="false">IF(OR(F827="",M827=""),"",ROUND(AVERAGE(F827:I827)-M827,1))</f>
        <v/>
      </c>
      <c r="O827" s="17"/>
      <c r="P827" s="17"/>
      <c r="Q827" s="17"/>
    </row>
    <row r="828" customFormat="false" ht="15" hidden="false" customHeight="true" outlineLevel="0" collapsed="false">
      <c r="A828" s="17"/>
      <c r="B828" s="17"/>
      <c r="C828" s="17"/>
      <c r="D828" s="17"/>
      <c r="E828" s="17"/>
      <c r="F828" s="17"/>
      <c r="G828" s="17"/>
      <c r="H828" s="17"/>
      <c r="I828" s="17"/>
      <c r="J828" s="6" t="str">
        <f aca="false">IF(F828="","",IF(AND(F828&gt;=4,G828&gt;=4,H828&gt;=4,I828&gt;=4),"Proficient",IF(AND(F828&lt;=2,G828&lt;=2,H828&lt;=2,I828&lt;=2),"Emerging","Progressing")))</f>
        <v/>
      </c>
      <c r="K828" s="6" t="str">
        <f aca="false">IF(F828="","",IF(J828="Proficient","Yes","No"))</f>
        <v/>
      </c>
      <c r="L828" s="6" t="str">
        <f aca="false">IF(F828="","",INDEX({"Listening","Speaking","Reading","Writing"},MATCH(MIN(F828:I828),F828:I828,0)))</f>
        <v/>
      </c>
      <c r="M828" s="17"/>
      <c r="N828" s="6" t="str">
        <f aca="false">IF(OR(F828="",M828=""),"",ROUND(AVERAGE(F828:I828)-M828,1))</f>
        <v/>
      </c>
      <c r="O828" s="17"/>
      <c r="P828" s="17"/>
      <c r="Q828" s="17"/>
    </row>
    <row r="829" customFormat="false" ht="15" hidden="false" customHeight="true" outlineLevel="0" collapsed="false">
      <c r="A829" s="17"/>
      <c r="B829" s="17"/>
      <c r="C829" s="17"/>
      <c r="D829" s="17"/>
      <c r="E829" s="17"/>
      <c r="F829" s="17"/>
      <c r="G829" s="17"/>
      <c r="H829" s="17"/>
      <c r="I829" s="17"/>
      <c r="J829" s="6" t="str">
        <f aca="false">IF(F829="","",IF(AND(F829&gt;=4,G829&gt;=4,H829&gt;=4,I829&gt;=4),"Proficient",IF(AND(F829&lt;=2,G829&lt;=2,H829&lt;=2,I829&lt;=2),"Emerging","Progressing")))</f>
        <v/>
      </c>
      <c r="K829" s="6" t="str">
        <f aca="false">IF(F829="","",IF(J829="Proficient","Yes","No"))</f>
        <v/>
      </c>
      <c r="L829" s="6" t="str">
        <f aca="false">IF(F829="","",INDEX({"Listening","Speaking","Reading","Writing"},MATCH(MIN(F829:I829),F829:I829,0)))</f>
        <v/>
      </c>
      <c r="M829" s="17"/>
      <c r="N829" s="6" t="str">
        <f aca="false">IF(OR(F829="",M829=""),"",ROUND(AVERAGE(F829:I829)-M829,1))</f>
        <v/>
      </c>
      <c r="O829" s="17"/>
      <c r="P829" s="17"/>
      <c r="Q829" s="17"/>
    </row>
    <row r="830" customFormat="false" ht="15" hidden="false" customHeight="true" outlineLevel="0" collapsed="false">
      <c r="A830" s="17"/>
      <c r="B830" s="17"/>
      <c r="C830" s="17"/>
      <c r="D830" s="17"/>
      <c r="E830" s="17"/>
      <c r="F830" s="17"/>
      <c r="G830" s="17"/>
      <c r="H830" s="17"/>
      <c r="I830" s="17"/>
      <c r="J830" s="6" t="str">
        <f aca="false">IF(F830="","",IF(AND(F830&gt;=4,G830&gt;=4,H830&gt;=4,I830&gt;=4),"Proficient",IF(AND(F830&lt;=2,G830&lt;=2,H830&lt;=2,I830&lt;=2),"Emerging","Progressing")))</f>
        <v/>
      </c>
      <c r="K830" s="6" t="str">
        <f aca="false">IF(F830="","",IF(J830="Proficient","Yes","No"))</f>
        <v/>
      </c>
      <c r="L830" s="6" t="str">
        <f aca="false">IF(F830="","",INDEX({"Listening","Speaking","Reading","Writing"},MATCH(MIN(F830:I830),F830:I830,0)))</f>
        <v/>
      </c>
      <c r="M830" s="17"/>
      <c r="N830" s="6" t="str">
        <f aca="false">IF(OR(F830="",M830=""),"",ROUND(AVERAGE(F830:I830)-M830,1))</f>
        <v/>
      </c>
      <c r="O830" s="17"/>
      <c r="P830" s="17"/>
      <c r="Q830" s="17"/>
    </row>
    <row r="831" customFormat="false" ht="15" hidden="false" customHeight="true" outlineLevel="0" collapsed="false">
      <c r="A831" s="17"/>
      <c r="B831" s="17"/>
      <c r="C831" s="17"/>
      <c r="D831" s="17"/>
      <c r="E831" s="17"/>
      <c r="F831" s="17"/>
      <c r="G831" s="17"/>
      <c r="H831" s="17"/>
      <c r="I831" s="17"/>
      <c r="J831" s="6" t="str">
        <f aca="false">IF(F831="","",IF(AND(F831&gt;=4,G831&gt;=4,H831&gt;=4,I831&gt;=4),"Proficient",IF(AND(F831&lt;=2,G831&lt;=2,H831&lt;=2,I831&lt;=2),"Emerging","Progressing")))</f>
        <v/>
      </c>
      <c r="K831" s="6" t="str">
        <f aca="false">IF(F831="","",IF(J831="Proficient","Yes","No"))</f>
        <v/>
      </c>
      <c r="L831" s="6" t="str">
        <f aca="false">IF(F831="","",INDEX({"Listening","Speaking","Reading","Writing"},MATCH(MIN(F831:I831),F831:I831,0)))</f>
        <v/>
      </c>
      <c r="M831" s="17"/>
      <c r="N831" s="6" t="str">
        <f aca="false">IF(OR(F831="",M831=""),"",ROUND(AVERAGE(F831:I831)-M831,1))</f>
        <v/>
      </c>
      <c r="O831" s="17"/>
      <c r="P831" s="17"/>
      <c r="Q831" s="17"/>
    </row>
    <row r="832" customFormat="false" ht="15" hidden="false" customHeight="true" outlineLevel="0" collapsed="false">
      <c r="A832" s="17"/>
      <c r="B832" s="17"/>
      <c r="C832" s="17"/>
      <c r="D832" s="17"/>
      <c r="E832" s="17"/>
      <c r="F832" s="17"/>
      <c r="G832" s="17"/>
      <c r="H832" s="17"/>
      <c r="I832" s="17"/>
      <c r="J832" s="6" t="str">
        <f aca="false">IF(F832="","",IF(AND(F832&gt;=4,G832&gt;=4,H832&gt;=4,I832&gt;=4),"Proficient",IF(AND(F832&lt;=2,G832&lt;=2,H832&lt;=2,I832&lt;=2),"Emerging","Progressing")))</f>
        <v/>
      </c>
      <c r="K832" s="6" t="str">
        <f aca="false">IF(F832="","",IF(J832="Proficient","Yes","No"))</f>
        <v/>
      </c>
      <c r="L832" s="6" t="str">
        <f aca="false">IF(F832="","",INDEX({"Listening","Speaking","Reading","Writing"},MATCH(MIN(F832:I832),F832:I832,0)))</f>
        <v/>
      </c>
      <c r="M832" s="17"/>
      <c r="N832" s="6" t="str">
        <f aca="false">IF(OR(F832="",M832=""),"",ROUND(AVERAGE(F832:I832)-M832,1))</f>
        <v/>
      </c>
      <c r="O832" s="17"/>
      <c r="P832" s="17"/>
      <c r="Q832" s="17"/>
    </row>
    <row r="833" customFormat="false" ht="15" hidden="false" customHeight="true" outlineLevel="0" collapsed="false">
      <c r="A833" s="17"/>
      <c r="B833" s="17"/>
      <c r="C833" s="17"/>
      <c r="D833" s="17"/>
      <c r="E833" s="17"/>
      <c r="F833" s="17"/>
      <c r="G833" s="17"/>
      <c r="H833" s="17"/>
      <c r="I833" s="17"/>
      <c r="J833" s="6" t="str">
        <f aca="false">IF(F833="","",IF(AND(F833&gt;=4,G833&gt;=4,H833&gt;=4,I833&gt;=4),"Proficient",IF(AND(F833&lt;=2,G833&lt;=2,H833&lt;=2,I833&lt;=2),"Emerging","Progressing")))</f>
        <v/>
      </c>
      <c r="K833" s="6" t="str">
        <f aca="false">IF(F833="","",IF(J833="Proficient","Yes","No"))</f>
        <v/>
      </c>
      <c r="L833" s="6" t="str">
        <f aca="false">IF(F833="","",INDEX({"Listening","Speaking","Reading","Writing"},MATCH(MIN(F833:I833),F833:I833,0)))</f>
        <v/>
      </c>
      <c r="M833" s="17"/>
      <c r="N833" s="6" t="str">
        <f aca="false">IF(OR(F833="",M833=""),"",ROUND(AVERAGE(F833:I833)-M833,1))</f>
        <v/>
      </c>
      <c r="O833" s="17"/>
      <c r="P833" s="17"/>
      <c r="Q833" s="17"/>
    </row>
    <row r="834" customFormat="false" ht="15" hidden="false" customHeight="true" outlineLevel="0" collapsed="false">
      <c r="A834" s="17"/>
      <c r="B834" s="17"/>
      <c r="C834" s="17"/>
      <c r="D834" s="17"/>
      <c r="E834" s="17"/>
      <c r="F834" s="17"/>
      <c r="G834" s="17"/>
      <c r="H834" s="17"/>
      <c r="I834" s="17"/>
      <c r="J834" s="6" t="str">
        <f aca="false">IF(F834="","",IF(AND(F834&gt;=4,G834&gt;=4,H834&gt;=4,I834&gt;=4),"Proficient",IF(AND(F834&lt;=2,G834&lt;=2,H834&lt;=2,I834&lt;=2),"Emerging","Progressing")))</f>
        <v/>
      </c>
      <c r="K834" s="6" t="str">
        <f aca="false">IF(F834="","",IF(J834="Proficient","Yes","No"))</f>
        <v/>
      </c>
      <c r="L834" s="6" t="str">
        <f aca="false">IF(F834="","",INDEX({"Listening","Speaking","Reading","Writing"},MATCH(MIN(F834:I834),F834:I834,0)))</f>
        <v/>
      </c>
      <c r="M834" s="17"/>
      <c r="N834" s="6" t="str">
        <f aca="false">IF(OR(F834="",M834=""),"",ROUND(AVERAGE(F834:I834)-M834,1))</f>
        <v/>
      </c>
      <c r="O834" s="17"/>
      <c r="P834" s="17"/>
      <c r="Q834" s="17"/>
    </row>
    <row r="835" customFormat="false" ht="15" hidden="false" customHeight="true" outlineLevel="0" collapsed="false">
      <c r="A835" s="17"/>
      <c r="B835" s="17"/>
      <c r="C835" s="17"/>
      <c r="D835" s="17"/>
      <c r="E835" s="17"/>
      <c r="F835" s="17"/>
      <c r="G835" s="17"/>
      <c r="H835" s="17"/>
      <c r="I835" s="17"/>
      <c r="J835" s="6" t="str">
        <f aca="false">IF(F835="","",IF(AND(F835&gt;=4,G835&gt;=4,H835&gt;=4,I835&gt;=4),"Proficient",IF(AND(F835&lt;=2,G835&lt;=2,H835&lt;=2,I835&lt;=2),"Emerging","Progressing")))</f>
        <v/>
      </c>
      <c r="K835" s="6" t="str">
        <f aca="false">IF(F835="","",IF(J835="Proficient","Yes","No"))</f>
        <v/>
      </c>
      <c r="L835" s="6" t="str">
        <f aca="false">IF(F835="","",INDEX({"Listening","Speaking","Reading","Writing"},MATCH(MIN(F835:I835),F835:I835,0)))</f>
        <v/>
      </c>
      <c r="M835" s="17"/>
      <c r="N835" s="6" t="str">
        <f aca="false">IF(OR(F835="",M835=""),"",ROUND(AVERAGE(F835:I835)-M835,1))</f>
        <v/>
      </c>
      <c r="O835" s="17"/>
      <c r="P835" s="17"/>
      <c r="Q835" s="17"/>
    </row>
    <row r="836" customFormat="false" ht="15" hidden="false" customHeight="true" outlineLevel="0" collapsed="false">
      <c r="A836" s="17"/>
      <c r="B836" s="17"/>
      <c r="C836" s="17"/>
      <c r="D836" s="17"/>
      <c r="E836" s="17"/>
      <c r="F836" s="17"/>
      <c r="G836" s="17"/>
      <c r="H836" s="17"/>
      <c r="I836" s="17"/>
      <c r="J836" s="6" t="str">
        <f aca="false">IF(F836="","",IF(AND(F836&gt;=4,G836&gt;=4,H836&gt;=4,I836&gt;=4),"Proficient",IF(AND(F836&lt;=2,G836&lt;=2,H836&lt;=2,I836&lt;=2),"Emerging","Progressing")))</f>
        <v/>
      </c>
      <c r="K836" s="6" t="str">
        <f aca="false">IF(F836="","",IF(J836="Proficient","Yes","No"))</f>
        <v/>
      </c>
      <c r="L836" s="6" t="str">
        <f aca="false">IF(F836="","",INDEX({"Listening","Speaking","Reading","Writing"},MATCH(MIN(F836:I836),F836:I836,0)))</f>
        <v/>
      </c>
      <c r="M836" s="17"/>
      <c r="N836" s="6" t="str">
        <f aca="false">IF(OR(F836="",M836=""),"",ROUND(AVERAGE(F836:I836)-M836,1))</f>
        <v/>
      </c>
      <c r="O836" s="17"/>
      <c r="P836" s="17"/>
      <c r="Q836" s="17"/>
    </row>
    <row r="837" customFormat="false" ht="15" hidden="false" customHeight="true" outlineLevel="0" collapsed="false">
      <c r="A837" s="17"/>
      <c r="B837" s="17"/>
      <c r="C837" s="17"/>
      <c r="D837" s="17"/>
      <c r="E837" s="17"/>
      <c r="F837" s="17"/>
      <c r="G837" s="17"/>
      <c r="H837" s="17"/>
      <c r="I837" s="17"/>
      <c r="J837" s="6" t="str">
        <f aca="false">IF(F837="","",IF(AND(F837&gt;=4,G837&gt;=4,H837&gt;=4,I837&gt;=4),"Proficient",IF(AND(F837&lt;=2,G837&lt;=2,H837&lt;=2,I837&lt;=2),"Emerging","Progressing")))</f>
        <v/>
      </c>
      <c r="K837" s="6" t="str">
        <f aca="false">IF(F837="","",IF(J837="Proficient","Yes","No"))</f>
        <v/>
      </c>
      <c r="L837" s="6" t="str">
        <f aca="false">IF(F837="","",INDEX({"Listening","Speaking","Reading","Writing"},MATCH(MIN(F837:I837),F837:I837,0)))</f>
        <v/>
      </c>
      <c r="M837" s="17"/>
      <c r="N837" s="6" t="str">
        <f aca="false">IF(OR(F837="",M837=""),"",ROUND(AVERAGE(F837:I837)-M837,1))</f>
        <v/>
      </c>
      <c r="O837" s="17"/>
      <c r="P837" s="17"/>
      <c r="Q837" s="17"/>
    </row>
    <row r="838" customFormat="false" ht="15" hidden="false" customHeight="true" outlineLevel="0" collapsed="false">
      <c r="A838" s="17"/>
      <c r="B838" s="17"/>
      <c r="C838" s="17"/>
      <c r="D838" s="17"/>
      <c r="E838" s="17"/>
      <c r="F838" s="17"/>
      <c r="G838" s="17"/>
      <c r="H838" s="17"/>
      <c r="I838" s="17"/>
      <c r="J838" s="6" t="str">
        <f aca="false">IF(F838="","",IF(AND(F838&gt;=4,G838&gt;=4,H838&gt;=4,I838&gt;=4),"Proficient",IF(AND(F838&lt;=2,G838&lt;=2,H838&lt;=2,I838&lt;=2),"Emerging","Progressing")))</f>
        <v/>
      </c>
      <c r="K838" s="6" t="str">
        <f aca="false">IF(F838="","",IF(J838="Proficient","Yes","No"))</f>
        <v/>
      </c>
      <c r="L838" s="6" t="str">
        <f aca="false">IF(F838="","",INDEX({"Listening","Speaking","Reading","Writing"},MATCH(MIN(F838:I838),F838:I838,0)))</f>
        <v/>
      </c>
      <c r="M838" s="17"/>
      <c r="N838" s="6" t="str">
        <f aca="false">IF(OR(F838="",M838=""),"",ROUND(AVERAGE(F838:I838)-M838,1))</f>
        <v/>
      </c>
      <c r="O838" s="17"/>
      <c r="P838" s="17"/>
      <c r="Q838" s="17"/>
    </row>
    <row r="839" customFormat="false" ht="15" hidden="false" customHeight="true" outlineLevel="0" collapsed="false">
      <c r="A839" s="17"/>
      <c r="B839" s="17"/>
      <c r="C839" s="17"/>
      <c r="D839" s="17"/>
      <c r="E839" s="17"/>
      <c r="F839" s="17"/>
      <c r="G839" s="17"/>
      <c r="H839" s="17"/>
      <c r="I839" s="17"/>
      <c r="J839" s="6" t="str">
        <f aca="false">IF(F839="","",IF(AND(F839&gt;=4,G839&gt;=4,H839&gt;=4,I839&gt;=4),"Proficient",IF(AND(F839&lt;=2,G839&lt;=2,H839&lt;=2,I839&lt;=2),"Emerging","Progressing")))</f>
        <v/>
      </c>
      <c r="K839" s="6" t="str">
        <f aca="false">IF(F839="","",IF(J839="Proficient","Yes","No"))</f>
        <v/>
      </c>
      <c r="L839" s="6" t="str">
        <f aca="false">IF(F839="","",INDEX({"Listening","Speaking","Reading","Writing"},MATCH(MIN(F839:I839),F839:I839,0)))</f>
        <v/>
      </c>
      <c r="M839" s="17"/>
      <c r="N839" s="6" t="str">
        <f aca="false">IF(OR(F839="",M839=""),"",ROUND(AVERAGE(F839:I839)-M839,1))</f>
        <v/>
      </c>
      <c r="O839" s="17"/>
      <c r="P839" s="17"/>
      <c r="Q839" s="17"/>
    </row>
    <row r="840" customFormat="false" ht="15" hidden="false" customHeight="true" outlineLevel="0" collapsed="false">
      <c r="A840" s="17"/>
      <c r="B840" s="17"/>
      <c r="C840" s="17"/>
      <c r="D840" s="17"/>
      <c r="E840" s="17"/>
      <c r="F840" s="17"/>
      <c r="G840" s="17"/>
      <c r="H840" s="17"/>
      <c r="I840" s="17"/>
      <c r="J840" s="6" t="str">
        <f aca="false">IF(F840="","",IF(AND(F840&gt;=4,G840&gt;=4,H840&gt;=4,I840&gt;=4),"Proficient",IF(AND(F840&lt;=2,G840&lt;=2,H840&lt;=2,I840&lt;=2),"Emerging","Progressing")))</f>
        <v/>
      </c>
      <c r="K840" s="6" t="str">
        <f aca="false">IF(F840="","",IF(J840="Proficient","Yes","No"))</f>
        <v/>
      </c>
      <c r="L840" s="6" t="str">
        <f aca="false">IF(F840="","",INDEX({"Listening","Speaking","Reading","Writing"},MATCH(MIN(F840:I840),F840:I840,0)))</f>
        <v/>
      </c>
      <c r="M840" s="17"/>
      <c r="N840" s="6" t="str">
        <f aca="false">IF(OR(F840="",M840=""),"",ROUND(AVERAGE(F840:I840)-M840,1))</f>
        <v/>
      </c>
      <c r="O840" s="17"/>
      <c r="P840" s="17"/>
      <c r="Q840" s="17"/>
    </row>
    <row r="841" customFormat="false" ht="15" hidden="false" customHeight="true" outlineLevel="0" collapsed="false">
      <c r="A841" s="17"/>
      <c r="B841" s="17"/>
      <c r="C841" s="17"/>
      <c r="D841" s="17"/>
      <c r="E841" s="17"/>
      <c r="F841" s="17"/>
      <c r="G841" s="17"/>
      <c r="H841" s="17"/>
      <c r="I841" s="17"/>
      <c r="J841" s="6" t="str">
        <f aca="false">IF(F841="","",IF(AND(F841&gt;=4,G841&gt;=4,H841&gt;=4,I841&gt;=4),"Proficient",IF(AND(F841&lt;=2,G841&lt;=2,H841&lt;=2,I841&lt;=2),"Emerging","Progressing")))</f>
        <v/>
      </c>
      <c r="K841" s="6" t="str">
        <f aca="false">IF(F841="","",IF(J841="Proficient","Yes","No"))</f>
        <v/>
      </c>
      <c r="L841" s="6" t="str">
        <f aca="false">IF(F841="","",INDEX({"Listening","Speaking","Reading","Writing"},MATCH(MIN(F841:I841),F841:I841,0)))</f>
        <v/>
      </c>
      <c r="M841" s="17"/>
      <c r="N841" s="6" t="str">
        <f aca="false">IF(OR(F841="",M841=""),"",ROUND(AVERAGE(F841:I841)-M841,1))</f>
        <v/>
      </c>
      <c r="O841" s="17"/>
      <c r="P841" s="17"/>
      <c r="Q841" s="17"/>
    </row>
    <row r="842" customFormat="false" ht="15" hidden="false" customHeight="true" outlineLevel="0" collapsed="false">
      <c r="A842" s="17"/>
      <c r="B842" s="17"/>
      <c r="C842" s="17"/>
      <c r="D842" s="17"/>
      <c r="E842" s="17"/>
      <c r="F842" s="17"/>
      <c r="G842" s="17"/>
      <c r="H842" s="17"/>
      <c r="I842" s="17"/>
      <c r="J842" s="6" t="str">
        <f aca="false">IF(F842="","",IF(AND(F842&gt;=4,G842&gt;=4,H842&gt;=4,I842&gt;=4),"Proficient",IF(AND(F842&lt;=2,G842&lt;=2,H842&lt;=2,I842&lt;=2),"Emerging","Progressing")))</f>
        <v/>
      </c>
      <c r="K842" s="6" t="str">
        <f aca="false">IF(F842="","",IF(J842="Proficient","Yes","No"))</f>
        <v/>
      </c>
      <c r="L842" s="6" t="str">
        <f aca="false">IF(F842="","",INDEX({"Listening","Speaking","Reading","Writing"},MATCH(MIN(F842:I842),F842:I842,0)))</f>
        <v/>
      </c>
      <c r="M842" s="17"/>
      <c r="N842" s="6" t="str">
        <f aca="false">IF(OR(F842="",M842=""),"",ROUND(AVERAGE(F842:I842)-M842,1))</f>
        <v/>
      </c>
      <c r="O842" s="17"/>
      <c r="P842" s="17"/>
      <c r="Q842" s="17"/>
    </row>
    <row r="843" customFormat="false" ht="15" hidden="false" customHeight="true" outlineLevel="0" collapsed="false">
      <c r="A843" s="17"/>
      <c r="B843" s="17"/>
      <c r="C843" s="17"/>
      <c r="D843" s="17"/>
      <c r="E843" s="17"/>
      <c r="F843" s="17"/>
      <c r="G843" s="17"/>
      <c r="H843" s="17"/>
      <c r="I843" s="17"/>
      <c r="J843" s="6" t="str">
        <f aca="false">IF(F843="","",IF(AND(F843&gt;=4,G843&gt;=4,H843&gt;=4,I843&gt;=4),"Proficient",IF(AND(F843&lt;=2,G843&lt;=2,H843&lt;=2,I843&lt;=2),"Emerging","Progressing")))</f>
        <v/>
      </c>
      <c r="K843" s="6" t="str">
        <f aca="false">IF(F843="","",IF(J843="Proficient","Yes","No"))</f>
        <v/>
      </c>
      <c r="L843" s="6" t="str">
        <f aca="false">IF(F843="","",INDEX({"Listening","Speaking","Reading","Writing"},MATCH(MIN(F843:I843),F843:I843,0)))</f>
        <v/>
      </c>
      <c r="M843" s="17"/>
      <c r="N843" s="6" t="str">
        <f aca="false">IF(OR(F843="",M843=""),"",ROUND(AVERAGE(F843:I843)-M843,1))</f>
        <v/>
      </c>
      <c r="O843" s="17"/>
      <c r="P843" s="17"/>
      <c r="Q843" s="17"/>
    </row>
    <row r="844" customFormat="false" ht="15" hidden="false" customHeight="true" outlineLevel="0" collapsed="false">
      <c r="A844" s="17"/>
      <c r="B844" s="17"/>
      <c r="C844" s="17"/>
      <c r="D844" s="17"/>
      <c r="E844" s="17"/>
      <c r="F844" s="17"/>
      <c r="G844" s="17"/>
      <c r="H844" s="17"/>
      <c r="I844" s="17"/>
      <c r="J844" s="6" t="str">
        <f aca="false">IF(F844="","",IF(AND(F844&gt;=4,G844&gt;=4,H844&gt;=4,I844&gt;=4),"Proficient",IF(AND(F844&lt;=2,G844&lt;=2,H844&lt;=2,I844&lt;=2),"Emerging","Progressing")))</f>
        <v/>
      </c>
      <c r="K844" s="6" t="str">
        <f aca="false">IF(F844="","",IF(J844="Proficient","Yes","No"))</f>
        <v/>
      </c>
      <c r="L844" s="6" t="str">
        <f aca="false">IF(F844="","",INDEX({"Listening","Speaking","Reading","Writing"},MATCH(MIN(F844:I844),F844:I844,0)))</f>
        <v/>
      </c>
      <c r="M844" s="17"/>
      <c r="N844" s="6" t="str">
        <f aca="false">IF(OR(F844="",M844=""),"",ROUND(AVERAGE(F844:I844)-M844,1))</f>
        <v/>
      </c>
      <c r="O844" s="17"/>
      <c r="P844" s="17"/>
      <c r="Q844" s="17"/>
    </row>
    <row r="845" customFormat="false" ht="15" hidden="false" customHeight="true" outlineLevel="0" collapsed="false">
      <c r="A845" s="17"/>
      <c r="B845" s="17"/>
      <c r="C845" s="17"/>
      <c r="D845" s="17"/>
      <c r="E845" s="17"/>
      <c r="F845" s="17"/>
      <c r="G845" s="17"/>
      <c r="H845" s="17"/>
      <c r="I845" s="17"/>
      <c r="J845" s="6" t="str">
        <f aca="false">IF(F845="","",IF(AND(F845&gt;=4,G845&gt;=4,H845&gt;=4,I845&gt;=4),"Proficient",IF(AND(F845&lt;=2,G845&lt;=2,H845&lt;=2,I845&lt;=2),"Emerging","Progressing")))</f>
        <v/>
      </c>
      <c r="K845" s="6" t="str">
        <f aca="false">IF(F845="","",IF(J845="Proficient","Yes","No"))</f>
        <v/>
      </c>
      <c r="L845" s="6" t="str">
        <f aca="false">IF(F845="","",INDEX({"Listening","Speaking","Reading","Writing"},MATCH(MIN(F845:I845),F845:I845,0)))</f>
        <v/>
      </c>
      <c r="M845" s="17"/>
      <c r="N845" s="6" t="str">
        <f aca="false">IF(OR(F845="",M845=""),"",ROUND(AVERAGE(F845:I845)-M845,1))</f>
        <v/>
      </c>
      <c r="O845" s="17"/>
      <c r="P845" s="17"/>
      <c r="Q845" s="17"/>
    </row>
    <row r="846" customFormat="false" ht="15" hidden="false" customHeight="true" outlineLevel="0" collapsed="false">
      <c r="A846" s="17"/>
      <c r="B846" s="17"/>
      <c r="C846" s="17"/>
      <c r="D846" s="17"/>
      <c r="E846" s="17"/>
      <c r="F846" s="17"/>
      <c r="G846" s="17"/>
      <c r="H846" s="17"/>
      <c r="I846" s="17"/>
      <c r="J846" s="6" t="str">
        <f aca="false">IF(F846="","",IF(AND(F846&gt;=4,G846&gt;=4,H846&gt;=4,I846&gt;=4),"Proficient",IF(AND(F846&lt;=2,G846&lt;=2,H846&lt;=2,I846&lt;=2),"Emerging","Progressing")))</f>
        <v/>
      </c>
      <c r="K846" s="6" t="str">
        <f aca="false">IF(F846="","",IF(J846="Proficient","Yes","No"))</f>
        <v/>
      </c>
      <c r="L846" s="6" t="str">
        <f aca="false">IF(F846="","",INDEX({"Listening","Speaking","Reading","Writing"},MATCH(MIN(F846:I846),F846:I846,0)))</f>
        <v/>
      </c>
      <c r="M846" s="17"/>
      <c r="N846" s="6" t="str">
        <f aca="false">IF(OR(F846="",M846=""),"",ROUND(AVERAGE(F846:I846)-M846,1))</f>
        <v/>
      </c>
      <c r="O846" s="17"/>
      <c r="P846" s="17"/>
      <c r="Q846" s="17"/>
    </row>
    <row r="847" customFormat="false" ht="15" hidden="false" customHeight="true" outlineLevel="0" collapsed="false">
      <c r="A847" s="17"/>
      <c r="B847" s="17"/>
      <c r="C847" s="17"/>
      <c r="D847" s="17"/>
      <c r="E847" s="17"/>
      <c r="F847" s="17"/>
      <c r="G847" s="17"/>
      <c r="H847" s="17"/>
      <c r="I847" s="17"/>
      <c r="J847" s="6" t="str">
        <f aca="false">IF(F847="","",IF(AND(F847&gt;=4,G847&gt;=4,H847&gt;=4,I847&gt;=4),"Proficient",IF(AND(F847&lt;=2,G847&lt;=2,H847&lt;=2,I847&lt;=2),"Emerging","Progressing")))</f>
        <v/>
      </c>
      <c r="K847" s="6" t="str">
        <f aca="false">IF(F847="","",IF(J847="Proficient","Yes","No"))</f>
        <v/>
      </c>
      <c r="L847" s="6" t="str">
        <f aca="false">IF(F847="","",INDEX({"Listening","Speaking","Reading","Writing"},MATCH(MIN(F847:I847),F847:I847,0)))</f>
        <v/>
      </c>
      <c r="M847" s="17"/>
      <c r="N847" s="6" t="str">
        <f aca="false">IF(OR(F847="",M847=""),"",ROUND(AVERAGE(F847:I847)-M847,1))</f>
        <v/>
      </c>
      <c r="O847" s="17"/>
      <c r="P847" s="17"/>
      <c r="Q847" s="17"/>
    </row>
    <row r="848" customFormat="false" ht="15" hidden="false" customHeight="true" outlineLevel="0" collapsed="false">
      <c r="A848" s="17"/>
      <c r="B848" s="17"/>
      <c r="C848" s="17"/>
      <c r="D848" s="17"/>
      <c r="E848" s="17"/>
      <c r="F848" s="17"/>
      <c r="G848" s="17"/>
      <c r="H848" s="17"/>
      <c r="I848" s="17"/>
      <c r="J848" s="6" t="str">
        <f aca="false">IF(F848="","",IF(AND(F848&gt;=4,G848&gt;=4,H848&gt;=4,I848&gt;=4),"Proficient",IF(AND(F848&lt;=2,G848&lt;=2,H848&lt;=2,I848&lt;=2),"Emerging","Progressing")))</f>
        <v/>
      </c>
      <c r="K848" s="6" t="str">
        <f aca="false">IF(F848="","",IF(J848="Proficient","Yes","No"))</f>
        <v/>
      </c>
      <c r="L848" s="6" t="str">
        <f aca="false">IF(F848="","",INDEX({"Listening","Speaking","Reading","Writing"},MATCH(MIN(F848:I848),F848:I848,0)))</f>
        <v/>
      </c>
      <c r="M848" s="17"/>
      <c r="N848" s="6" t="str">
        <f aca="false">IF(OR(F848="",M848=""),"",ROUND(AVERAGE(F848:I848)-M848,1))</f>
        <v/>
      </c>
      <c r="O848" s="17"/>
      <c r="P848" s="17"/>
      <c r="Q848" s="17"/>
    </row>
    <row r="849" customFormat="false" ht="15" hidden="false" customHeight="true" outlineLevel="0" collapsed="false">
      <c r="A849" s="17"/>
      <c r="B849" s="17"/>
      <c r="C849" s="17"/>
      <c r="D849" s="17"/>
      <c r="E849" s="17"/>
      <c r="F849" s="17"/>
      <c r="G849" s="17"/>
      <c r="H849" s="17"/>
      <c r="I849" s="17"/>
      <c r="J849" s="6" t="str">
        <f aca="false">IF(F849="","",IF(AND(F849&gt;=4,G849&gt;=4,H849&gt;=4,I849&gt;=4),"Proficient",IF(AND(F849&lt;=2,G849&lt;=2,H849&lt;=2,I849&lt;=2),"Emerging","Progressing")))</f>
        <v/>
      </c>
      <c r="K849" s="6" t="str">
        <f aca="false">IF(F849="","",IF(J849="Proficient","Yes","No"))</f>
        <v/>
      </c>
      <c r="L849" s="6" t="str">
        <f aca="false">IF(F849="","",INDEX({"Listening","Speaking","Reading","Writing"},MATCH(MIN(F849:I849),F849:I849,0)))</f>
        <v/>
      </c>
      <c r="M849" s="17"/>
      <c r="N849" s="6" t="str">
        <f aca="false">IF(OR(F849="",M849=""),"",ROUND(AVERAGE(F849:I849)-M849,1))</f>
        <v/>
      </c>
      <c r="O849" s="17"/>
      <c r="P849" s="17"/>
      <c r="Q849" s="17"/>
    </row>
    <row r="850" customFormat="false" ht="15" hidden="false" customHeight="true" outlineLevel="0" collapsed="false">
      <c r="A850" s="17"/>
      <c r="B850" s="17"/>
      <c r="C850" s="17"/>
      <c r="D850" s="17"/>
      <c r="E850" s="17"/>
      <c r="F850" s="17"/>
      <c r="G850" s="17"/>
      <c r="H850" s="17"/>
      <c r="I850" s="17"/>
      <c r="J850" s="6" t="str">
        <f aca="false">IF(F850="","",IF(AND(F850&gt;=4,G850&gt;=4,H850&gt;=4,I850&gt;=4),"Proficient",IF(AND(F850&lt;=2,G850&lt;=2,H850&lt;=2,I850&lt;=2),"Emerging","Progressing")))</f>
        <v/>
      </c>
      <c r="K850" s="6" t="str">
        <f aca="false">IF(F850="","",IF(J850="Proficient","Yes","No"))</f>
        <v/>
      </c>
      <c r="L850" s="6" t="str">
        <f aca="false">IF(F850="","",INDEX({"Listening","Speaking","Reading","Writing"},MATCH(MIN(F850:I850),F850:I850,0)))</f>
        <v/>
      </c>
      <c r="M850" s="17"/>
      <c r="N850" s="6" t="str">
        <f aca="false">IF(OR(F850="",M850=""),"",ROUND(AVERAGE(F850:I850)-M850,1))</f>
        <v/>
      </c>
      <c r="O850" s="17"/>
      <c r="P850" s="17"/>
      <c r="Q850" s="17"/>
    </row>
    <row r="851" customFormat="false" ht="15" hidden="false" customHeight="true" outlineLevel="0" collapsed="false">
      <c r="A851" s="17"/>
      <c r="B851" s="17"/>
      <c r="C851" s="17"/>
      <c r="D851" s="17"/>
      <c r="E851" s="17"/>
      <c r="F851" s="17"/>
      <c r="G851" s="17"/>
      <c r="H851" s="17"/>
      <c r="I851" s="17"/>
      <c r="J851" s="6" t="str">
        <f aca="false">IF(F851="","",IF(AND(F851&gt;=4,G851&gt;=4,H851&gt;=4,I851&gt;=4),"Proficient",IF(AND(F851&lt;=2,G851&lt;=2,H851&lt;=2,I851&lt;=2),"Emerging","Progressing")))</f>
        <v/>
      </c>
      <c r="K851" s="6" t="str">
        <f aca="false">IF(F851="","",IF(J851="Proficient","Yes","No"))</f>
        <v/>
      </c>
      <c r="L851" s="6" t="str">
        <f aca="false">IF(F851="","",INDEX({"Listening","Speaking","Reading","Writing"},MATCH(MIN(F851:I851),F851:I851,0)))</f>
        <v/>
      </c>
      <c r="M851" s="17"/>
      <c r="N851" s="6" t="str">
        <f aca="false">IF(OR(F851="",M851=""),"",ROUND(AVERAGE(F851:I851)-M851,1))</f>
        <v/>
      </c>
      <c r="O851" s="17"/>
      <c r="P851" s="17"/>
      <c r="Q851" s="17"/>
    </row>
    <row r="852" customFormat="false" ht="15" hidden="false" customHeight="true" outlineLevel="0" collapsed="false">
      <c r="A852" s="17"/>
      <c r="B852" s="17"/>
      <c r="C852" s="17"/>
      <c r="D852" s="17"/>
      <c r="E852" s="17"/>
      <c r="F852" s="17"/>
      <c r="G852" s="17"/>
      <c r="H852" s="17"/>
      <c r="I852" s="17"/>
      <c r="J852" s="6" t="str">
        <f aca="false">IF(F852="","",IF(AND(F852&gt;=4,G852&gt;=4,H852&gt;=4,I852&gt;=4),"Proficient",IF(AND(F852&lt;=2,G852&lt;=2,H852&lt;=2,I852&lt;=2),"Emerging","Progressing")))</f>
        <v/>
      </c>
      <c r="K852" s="6" t="str">
        <f aca="false">IF(F852="","",IF(J852="Proficient","Yes","No"))</f>
        <v/>
      </c>
      <c r="L852" s="6" t="str">
        <f aca="false">IF(F852="","",INDEX({"Listening","Speaking","Reading","Writing"},MATCH(MIN(F852:I852),F852:I852,0)))</f>
        <v/>
      </c>
      <c r="M852" s="17"/>
      <c r="N852" s="6" t="str">
        <f aca="false">IF(OR(F852="",M852=""),"",ROUND(AVERAGE(F852:I852)-M852,1))</f>
        <v/>
      </c>
      <c r="O852" s="17"/>
      <c r="P852" s="17"/>
      <c r="Q852" s="17"/>
    </row>
    <row r="853" customFormat="false" ht="15" hidden="false" customHeight="true" outlineLevel="0" collapsed="false">
      <c r="A853" s="17"/>
      <c r="B853" s="17"/>
      <c r="C853" s="17"/>
      <c r="D853" s="17"/>
      <c r="E853" s="17"/>
      <c r="F853" s="17"/>
      <c r="G853" s="17"/>
      <c r="H853" s="17"/>
      <c r="I853" s="17"/>
      <c r="J853" s="6" t="str">
        <f aca="false">IF(F853="","",IF(AND(F853&gt;=4,G853&gt;=4,H853&gt;=4,I853&gt;=4),"Proficient",IF(AND(F853&lt;=2,G853&lt;=2,H853&lt;=2,I853&lt;=2),"Emerging","Progressing")))</f>
        <v/>
      </c>
      <c r="K853" s="6" t="str">
        <f aca="false">IF(F853="","",IF(J853="Proficient","Yes","No"))</f>
        <v/>
      </c>
      <c r="L853" s="6" t="str">
        <f aca="false">IF(F853="","",INDEX({"Listening","Speaking","Reading","Writing"},MATCH(MIN(F853:I853),F853:I853,0)))</f>
        <v/>
      </c>
      <c r="M853" s="17"/>
      <c r="N853" s="6" t="str">
        <f aca="false">IF(OR(F853="",M853=""),"",ROUND(AVERAGE(F853:I853)-M853,1))</f>
        <v/>
      </c>
      <c r="O853" s="17"/>
      <c r="P853" s="17"/>
      <c r="Q853" s="17"/>
    </row>
    <row r="854" customFormat="false" ht="15" hidden="false" customHeight="true" outlineLevel="0" collapsed="false">
      <c r="A854" s="17"/>
      <c r="B854" s="17"/>
      <c r="C854" s="17"/>
      <c r="D854" s="17"/>
      <c r="E854" s="17"/>
      <c r="F854" s="17"/>
      <c r="G854" s="17"/>
      <c r="H854" s="17"/>
      <c r="I854" s="17"/>
      <c r="J854" s="6" t="str">
        <f aca="false">IF(F854="","",IF(AND(F854&gt;=4,G854&gt;=4,H854&gt;=4,I854&gt;=4),"Proficient",IF(AND(F854&lt;=2,G854&lt;=2,H854&lt;=2,I854&lt;=2),"Emerging","Progressing")))</f>
        <v/>
      </c>
      <c r="K854" s="6" t="str">
        <f aca="false">IF(F854="","",IF(J854="Proficient","Yes","No"))</f>
        <v/>
      </c>
      <c r="L854" s="6" t="str">
        <f aca="false">IF(F854="","",INDEX({"Listening","Speaking","Reading","Writing"},MATCH(MIN(F854:I854),F854:I854,0)))</f>
        <v/>
      </c>
      <c r="M854" s="17"/>
      <c r="N854" s="6" t="str">
        <f aca="false">IF(OR(F854="",M854=""),"",ROUND(AVERAGE(F854:I854)-M854,1))</f>
        <v/>
      </c>
      <c r="O854" s="17"/>
      <c r="P854" s="17"/>
      <c r="Q854" s="17"/>
    </row>
    <row r="855" customFormat="false" ht="15" hidden="false" customHeight="true" outlineLevel="0" collapsed="false">
      <c r="A855" s="17"/>
      <c r="B855" s="17"/>
      <c r="C855" s="17"/>
      <c r="D855" s="17"/>
      <c r="E855" s="17"/>
      <c r="F855" s="17"/>
      <c r="G855" s="17"/>
      <c r="H855" s="17"/>
      <c r="I855" s="17"/>
      <c r="J855" s="6" t="str">
        <f aca="false">IF(F855="","",IF(AND(F855&gt;=4,G855&gt;=4,H855&gt;=4,I855&gt;=4),"Proficient",IF(AND(F855&lt;=2,G855&lt;=2,H855&lt;=2,I855&lt;=2),"Emerging","Progressing")))</f>
        <v/>
      </c>
      <c r="K855" s="6" t="str">
        <f aca="false">IF(F855="","",IF(J855="Proficient","Yes","No"))</f>
        <v/>
      </c>
      <c r="L855" s="6" t="str">
        <f aca="false">IF(F855="","",INDEX({"Listening","Speaking","Reading","Writing"},MATCH(MIN(F855:I855),F855:I855,0)))</f>
        <v/>
      </c>
      <c r="M855" s="17"/>
      <c r="N855" s="6" t="str">
        <f aca="false">IF(OR(F855="",M855=""),"",ROUND(AVERAGE(F855:I855)-M855,1))</f>
        <v/>
      </c>
      <c r="O855" s="17"/>
      <c r="P855" s="17"/>
      <c r="Q855" s="17"/>
    </row>
    <row r="856" customFormat="false" ht="15" hidden="false" customHeight="true" outlineLevel="0" collapsed="false">
      <c r="A856" s="17"/>
      <c r="B856" s="17"/>
      <c r="C856" s="17"/>
      <c r="D856" s="17"/>
      <c r="E856" s="17"/>
      <c r="F856" s="17"/>
      <c r="G856" s="17"/>
      <c r="H856" s="17"/>
      <c r="I856" s="17"/>
      <c r="J856" s="6" t="str">
        <f aca="false">IF(F856="","",IF(AND(F856&gt;=4,G856&gt;=4,H856&gt;=4,I856&gt;=4),"Proficient",IF(AND(F856&lt;=2,G856&lt;=2,H856&lt;=2,I856&lt;=2),"Emerging","Progressing")))</f>
        <v/>
      </c>
      <c r="K856" s="6" t="str">
        <f aca="false">IF(F856="","",IF(J856="Proficient","Yes","No"))</f>
        <v/>
      </c>
      <c r="L856" s="6" t="str">
        <f aca="false">IF(F856="","",INDEX({"Listening","Speaking","Reading","Writing"},MATCH(MIN(F856:I856),F856:I856,0)))</f>
        <v/>
      </c>
      <c r="M856" s="17"/>
      <c r="N856" s="6" t="str">
        <f aca="false">IF(OR(F856="",M856=""),"",ROUND(AVERAGE(F856:I856)-M856,1))</f>
        <v/>
      </c>
      <c r="O856" s="17"/>
      <c r="P856" s="17"/>
      <c r="Q856" s="17"/>
    </row>
    <row r="857" customFormat="false" ht="15" hidden="false" customHeight="true" outlineLevel="0" collapsed="false">
      <c r="A857" s="17"/>
      <c r="B857" s="17"/>
      <c r="C857" s="17"/>
      <c r="D857" s="17"/>
      <c r="E857" s="17"/>
      <c r="F857" s="17"/>
      <c r="G857" s="17"/>
      <c r="H857" s="17"/>
      <c r="I857" s="17"/>
      <c r="J857" s="6" t="str">
        <f aca="false">IF(F857="","",IF(AND(F857&gt;=4,G857&gt;=4,H857&gt;=4,I857&gt;=4),"Proficient",IF(AND(F857&lt;=2,G857&lt;=2,H857&lt;=2,I857&lt;=2),"Emerging","Progressing")))</f>
        <v/>
      </c>
      <c r="K857" s="6" t="str">
        <f aca="false">IF(F857="","",IF(J857="Proficient","Yes","No"))</f>
        <v/>
      </c>
      <c r="L857" s="6" t="str">
        <f aca="false">IF(F857="","",INDEX({"Listening","Speaking","Reading","Writing"},MATCH(MIN(F857:I857),F857:I857,0)))</f>
        <v/>
      </c>
      <c r="M857" s="17"/>
      <c r="N857" s="6" t="str">
        <f aca="false">IF(OR(F857="",M857=""),"",ROUND(AVERAGE(F857:I857)-M857,1))</f>
        <v/>
      </c>
      <c r="O857" s="17"/>
      <c r="P857" s="17"/>
      <c r="Q857" s="17"/>
    </row>
    <row r="858" customFormat="false" ht="15" hidden="false" customHeight="true" outlineLevel="0" collapsed="false">
      <c r="A858" s="17"/>
      <c r="B858" s="17"/>
      <c r="C858" s="17"/>
      <c r="D858" s="17"/>
      <c r="E858" s="17"/>
      <c r="F858" s="17"/>
      <c r="G858" s="17"/>
      <c r="H858" s="17"/>
      <c r="I858" s="17"/>
      <c r="J858" s="6" t="str">
        <f aca="false">IF(F858="","",IF(AND(F858&gt;=4,G858&gt;=4,H858&gt;=4,I858&gt;=4),"Proficient",IF(AND(F858&lt;=2,G858&lt;=2,H858&lt;=2,I858&lt;=2),"Emerging","Progressing")))</f>
        <v/>
      </c>
      <c r="K858" s="6" t="str">
        <f aca="false">IF(F858="","",IF(J858="Proficient","Yes","No"))</f>
        <v/>
      </c>
      <c r="L858" s="6" t="str">
        <f aca="false">IF(F858="","",INDEX({"Listening","Speaking","Reading","Writing"},MATCH(MIN(F858:I858),F858:I858,0)))</f>
        <v/>
      </c>
      <c r="M858" s="17"/>
      <c r="N858" s="6" t="str">
        <f aca="false">IF(OR(F858="",M858=""),"",ROUND(AVERAGE(F858:I858)-M858,1))</f>
        <v/>
      </c>
      <c r="O858" s="17"/>
      <c r="P858" s="17"/>
      <c r="Q858" s="17"/>
    </row>
    <row r="859" customFormat="false" ht="15" hidden="false" customHeight="true" outlineLevel="0" collapsed="false">
      <c r="A859" s="17"/>
      <c r="B859" s="17"/>
      <c r="C859" s="17"/>
      <c r="D859" s="17"/>
      <c r="E859" s="17"/>
      <c r="F859" s="17"/>
      <c r="G859" s="17"/>
      <c r="H859" s="17"/>
      <c r="I859" s="17"/>
      <c r="J859" s="6" t="str">
        <f aca="false">IF(F859="","",IF(AND(F859&gt;=4,G859&gt;=4,H859&gt;=4,I859&gt;=4),"Proficient",IF(AND(F859&lt;=2,G859&lt;=2,H859&lt;=2,I859&lt;=2),"Emerging","Progressing")))</f>
        <v/>
      </c>
      <c r="K859" s="6" t="str">
        <f aca="false">IF(F859="","",IF(J859="Proficient","Yes","No"))</f>
        <v/>
      </c>
      <c r="L859" s="6" t="str">
        <f aca="false">IF(F859="","",INDEX({"Listening","Speaking","Reading","Writing"},MATCH(MIN(F859:I859),F859:I859,0)))</f>
        <v/>
      </c>
      <c r="M859" s="17"/>
      <c r="N859" s="6" t="str">
        <f aca="false">IF(OR(F859="",M859=""),"",ROUND(AVERAGE(F859:I859)-M859,1))</f>
        <v/>
      </c>
      <c r="O859" s="17"/>
      <c r="P859" s="17"/>
      <c r="Q859" s="17"/>
    </row>
    <row r="860" customFormat="false" ht="15" hidden="false" customHeight="true" outlineLevel="0" collapsed="false">
      <c r="A860" s="17"/>
      <c r="B860" s="17"/>
      <c r="C860" s="17"/>
      <c r="D860" s="17"/>
      <c r="E860" s="17"/>
      <c r="F860" s="17"/>
      <c r="G860" s="17"/>
      <c r="H860" s="17"/>
      <c r="I860" s="17"/>
      <c r="J860" s="6" t="str">
        <f aca="false">IF(F860="","",IF(AND(F860&gt;=4,G860&gt;=4,H860&gt;=4,I860&gt;=4),"Proficient",IF(AND(F860&lt;=2,G860&lt;=2,H860&lt;=2,I860&lt;=2),"Emerging","Progressing")))</f>
        <v/>
      </c>
      <c r="K860" s="6" t="str">
        <f aca="false">IF(F860="","",IF(J860="Proficient","Yes","No"))</f>
        <v/>
      </c>
      <c r="L860" s="6" t="str">
        <f aca="false">IF(F860="","",INDEX({"Listening","Speaking","Reading","Writing"},MATCH(MIN(F860:I860),F860:I860,0)))</f>
        <v/>
      </c>
      <c r="M860" s="17"/>
      <c r="N860" s="6" t="str">
        <f aca="false">IF(OR(F860="",M860=""),"",ROUND(AVERAGE(F860:I860)-M860,1))</f>
        <v/>
      </c>
      <c r="O860" s="17"/>
      <c r="P860" s="17"/>
      <c r="Q860" s="17"/>
    </row>
    <row r="861" customFormat="false" ht="15" hidden="false" customHeight="true" outlineLevel="0" collapsed="false">
      <c r="A861" s="17"/>
      <c r="B861" s="17"/>
      <c r="C861" s="17"/>
      <c r="D861" s="17"/>
      <c r="E861" s="17"/>
      <c r="F861" s="17"/>
      <c r="G861" s="17"/>
      <c r="H861" s="17"/>
      <c r="I861" s="17"/>
      <c r="J861" s="6" t="str">
        <f aca="false">IF(F861="","",IF(AND(F861&gt;=4,G861&gt;=4,H861&gt;=4,I861&gt;=4),"Proficient",IF(AND(F861&lt;=2,G861&lt;=2,H861&lt;=2,I861&lt;=2),"Emerging","Progressing")))</f>
        <v/>
      </c>
      <c r="K861" s="6" t="str">
        <f aca="false">IF(F861="","",IF(J861="Proficient","Yes","No"))</f>
        <v/>
      </c>
      <c r="L861" s="6" t="str">
        <f aca="false">IF(F861="","",INDEX({"Listening","Speaking","Reading","Writing"},MATCH(MIN(F861:I861),F861:I861,0)))</f>
        <v/>
      </c>
      <c r="M861" s="17"/>
      <c r="N861" s="6" t="str">
        <f aca="false">IF(OR(F861="",M861=""),"",ROUND(AVERAGE(F861:I861)-M861,1))</f>
        <v/>
      </c>
      <c r="O861" s="17"/>
      <c r="P861" s="17"/>
      <c r="Q861" s="17"/>
    </row>
    <row r="862" customFormat="false" ht="15" hidden="false" customHeight="true" outlineLevel="0" collapsed="false">
      <c r="A862" s="17"/>
      <c r="B862" s="17"/>
      <c r="C862" s="17"/>
      <c r="D862" s="17"/>
      <c r="E862" s="17"/>
      <c r="F862" s="17"/>
      <c r="G862" s="17"/>
      <c r="H862" s="17"/>
      <c r="I862" s="17"/>
      <c r="J862" s="6" t="str">
        <f aca="false">IF(F862="","",IF(AND(F862&gt;=4,G862&gt;=4,H862&gt;=4,I862&gt;=4),"Proficient",IF(AND(F862&lt;=2,G862&lt;=2,H862&lt;=2,I862&lt;=2),"Emerging","Progressing")))</f>
        <v/>
      </c>
      <c r="K862" s="6" t="str">
        <f aca="false">IF(F862="","",IF(J862="Proficient","Yes","No"))</f>
        <v/>
      </c>
      <c r="L862" s="6" t="str">
        <f aca="false">IF(F862="","",INDEX({"Listening","Speaking","Reading","Writing"},MATCH(MIN(F862:I862),F862:I862,0)))</f>
        <v/>
      </c>
      <c r="M862" s="17"/>
      <c r="N862" s="6" t="str">
        <f aca="false">IF(OR(F862="",M862=""),"",ROUND(AVERAGE(F862:I862)-M862,1))</f>
        <v/>
      </c>
      <c r="O862" s="17"/>
      <c r="P862" s="17"/>
      <c r="Q862" s="17"/>
    </row>
    <row r="863" customFormat="false" ht="15" hidden="false" customHeight="true" outlineLevel="0" collapsed="false">
      <c r="A863" s="17"/>
      <c r="B863" s="17"/>
      <c r="C863" s="17"/>
      <c r="D863" s="17"/>
      <c r="E863" s="17"/>
      <c r="F863" s="17"/>
      <c r="G863" s="17"/>
      <c r="H863" s="17"/>
      <c r="I863" s="17"/>
      <c r="J863" s="6" t="str">
        <f aca="false">IF(F863="","",IF(AND(F863&gt;=4,G863&gt;=4,H863&gt;=4,I863&gt;=4),"Proficient",IF(AND(F863&lt;=2,G863&lt;=2,H863&lt;=2,I863&lt;=2),"Emerging","Progressing")))</f>
        <v/>
      </c>
      <c r="K863" s="6" t="str">
        <f aca="false">IF(F863="","",IF(J863="Proficient","Yes","No"))</f>
        <v/>
      </c>
      <c r="L863" s="6" t="str">
        <f aca="false">IF(F863="","",INDEX({"Listening","Speaking","Reading","Writing"},MATCH(MIN(F863:I863),F863:I863,0)))</f>
        <v/>
      </c>
      <c r="M863" s="17"/>
      <c r="N863" s="6" t="str">
        <f aca="false">IF(OR(F863="",M863=""),"",ROUND(AVERAGE(F863:I863)-M863,1))</f>
        <v/>
      </c>
      <c r="O863" s="17"/>
      <c r="P863" s="17"/>
      <c r="Q863" s="17"/>
    </row>
    <row r="864" customFormat="false" ht="15" hidden="false" customHeight="true" outlineLevel="0" collapsed="false">
      <c r="A864" s="17"/>
      <c r="B864" s="17"/>
      <c r="C864" s="17"/>
      <c r="D864" s="17"/>
      <c r="E864" s="17"/>
      <c r="F864" s="17"/>
      <c r="G864" s="17"/>
      <c r="H864" s="17"/>
      <c r="I864" s="17"/>
      <c r="J864" s="6" t="str">
        <f aca="false">IF(F864="","",IF(AND(F864&gt;=4,G864&gt;=4,H864&gt;=4,I864&gt;=4),"Proficient",IF(AND(F864&lt;=2,G864&lt;=2,H864&lt;=2,I864&lt;=2),"Emerging","Progressing")))</f>
        <v/>
      </c>
      <c r="K864" s="6" t="str">
        <f aca="false">IF(F864="","",IF(J864="Proficient","Yes","No"))</f>
        <v/>
      </c>
      <c r="L864" s="6" t="str">
        <f aca="false">IF(F864="","",INDEX({"Listening","Speaking","Reading","Writing"},MATCH(MIN(F864:I864),F864:I864,0)))</f>
        <v/>
      </c>
      <c r="M864" s="17"/>
      <c r="N864" s="6" t="str">
        <f aca="false">IF(OR(F864="",M864=""),"",ROUND(AVERAGE(F864:I864)-M864,1))</f>
        <v/>
      </c>
      <c r="O864" s="17"/>
      <c r="P864" s="17"/>
      <c r="Q864" s="17"/>
    </row>
    <row r="865" customFormat="false" ht="15" hidden="false" customHeight="true" outlineLevel="0" collapsed="false">
      <c r="A865" s="17"/>
      <c r="B865" s="17"/>
      <c r="C865" s="17"/>
      <c r="D865" s="17"/>
      <c r="E865" s="17"/>
      <c r="F865" s="17"/>
      <c r="G865" s="17"/>
      <c r="H865" s="17"/>
      <c r="I865" s="17"/>
      <c r="J865" s="6" t="str">
        <f aca="false">IF(F865="","",IF(AND(F865&gt;=4,G865&gt;=4,H865&gt;=4,I865&gt;=4),"Proficient",IF(AND(F865&lt;=2,G865&lt;=2,H865&lt;=2,I865&lt;=2),"Emerging","Progressing")))</f>
        <v/>
      </c>
      <c r="K865" s="6" t="str">
        <f aca="false">IF(F865="","",IF(J865="Proficient","Yes","No"))</f>
        <v/>
      </c>
      <c r="L865" s="6" t="str">
        <f aca="false">IF(F865="","",INDEX({"Listening","Speaking","Reading","Writing"},MATCH(MIN(F865:I865),F865:I865,0)))</f>
        <v/>
      </c>
      <c r="M865" s="17"/>
      <c r="N865" s="6" t="str">
        <f aca="false">IF(OR(F865="",M865=""),"",ROUND(AVERAGE(F865:I865)-M865,1))</f>
        <v/>
      </c>
      <c r="O865" s="17"/>
      <c r="P865" s="17"/>
      <c r="Q865" s="17"/>
    </row>
    <row r="866" customFormat="false" ht="15" hidden="false" customHeight="true" outlineLevel="0" collapsed="false">
      <c r="A866" s="17"/>
      <c r="B866" s="17"/>
      <c r="C866" s="17"/>
      <c r="D866" s="17"/>
      <c r="E866" s="17"/>
      <c r="F866" s="17"/>
      <c r="G866" s="17"/>
      <c r="H866" s="17"/>
      <c r="I866" s="17"/>
      <c r="J866" s="6" t="str">
        <f aca="false">IF(F866="","",IF(AND(F866&gt;=4,G866&gt;=4,H866&gt;=4,I866&gt;=4),"Proficient",IF(AND(F866&lt;=2,G866&lt;=2,H866&lt;=2,I866&lt;=2),"Emerging","Progressing")))</f>
        <v/>
      </c>
      <c r="K866" s="6" t="str">
        <f aca="false">IF(F866="","",IF(J866="Proficient","Yes","No"))</f>
        <v/>
      </c>
      <c r="L866" s="6" t="str">
        <f aca="false">IF(F866="","",INDEX({"Listening","Speaking","Reading","Writing"},MATCH(MIN(F866:I866),F866:I866,0)))</f>
        <v/>
      </c>
      <c r="M866" s="17"/>
      <c r="N866" s="6" t="str">
        <f aca="false">IF(OR(F866="",M866=""),"",ROUND(AVERAGE(F866:I866)-M866,1))</f>
        <v/>
      </c>
      <c r="O866" s="17"/>
      <c r="P866" s="17"/>
      <c r="Q866" s="17"/>
    </row>
    <row r="867" customFormat="false" ht="15" hidden="false" customHeight="true" outlineLevel="0" collapsed="false">
      <c r="A867" s="17"/>
      <c r="B867" s="17"/>
      <c r="C867" s="17"/>
      <c r="D867" s="17"/>
      <c r="E867" s="17"/>
      <c r="F867" s="17"/>
      <c r="G867" s="17"/>
      <c r="H867" s="17"/>
      <c r="I867" s="17"/>
      <c r="J867" s="6" t="str">
        <f aca="false">IF(F867="","",IF(AND(F867&gt;=4,G867&gt;=4,H867&gt;=4,I867&gt;=4),"Proficient",IF(AND(F867&lt;=2,G867&lt;=2,H867&lt;=2,I867&lt;=2),"Emerging","Progressing")))</f>
        <v/>
      </c>
      <c r="K867" s="6" t="str">
        <f aca="false">IF(F867="","",IF(J867="Proficient","Yes","No"))</f>
        <v/>
      </c>
      <c r="L867" s="6" t="str">
        <f aca="false">IF(F867="","",INDEX({"Listening","Speaking","Reading","Writing"},MATCH(MIN(F867:I867),F867:I867,0)))</f>
        <v/>
      </c>
      <c r="M867" s="17"/>
      <c r="N867" s="6" t="str">
        <f aca="false">IF(OR(F867="",M867=""),"",ROUND(AVERAGE(F867:I867)-M867,1))</f>
        <v/>
      </c>
      <c r="O867" s="17"/>
      <c r="P867" s="17"/>
      <c r="Q867" s="17"/>
    </row>
    <row r="868" customFormat="false" ht="15" hidden="false" customHeight="true" outlineLevel="0" collapsed="false">
      <c r="A868" s="17"/>
      <c r="B868" s="17"/>
      <c r="C868" s="17"/>
      <c r="D868" s="17"/>
      <c r="E868" s="17"/>
      <c r="F868" s="17"/>
      <c r="G868" s="17"/>
      <c r="H868" s="17"/>
      <c r="I868" s="17"/>
      <c r="J868" s="6" t="str">
        <f aca="false">IF(F868="","",IF(AND(F868&gt;=4,G868&gt;=4,H868&gt;=4,I868&gt;=4),"Proficient",IF(AND(F868&lt;=2,G868&lt;=2,H868&lt;=2,I868&lt;=2),"Emerging","Progressing")))</f>
        <v/>
      </c>
      <c r="K868" s="6" t="str">
        <f aca="false">IF(F868="","",IF(J868="Proficient","Yes","No"))</f>
        <v/>
      </c>
      <c r="L868" s="6" t="str">
        <f aca="false">IF(F868="","",INDEX({"Listening","Speaking","Reading","Writing"},MATCH(MIN(F868:I868),F868:I868,0)))</f>
        <v/>
      </c>
      <c r="M868" s="17"/>
      <c r="N868" s="6" t="str">
        <f aca="false">IF(OR(F868="",M868=""),"",ROUND(AVERAGE(F868:I868)-M868,1))</f>
        <v/>
      </c>
      <c r="O868" s="17"/>
      <c r="P868" s="17"/>
      <c r="Q868" s="17"/>
    </row>
    <row r="869" customFormat="false" ht="15" hidden="false" customHeight="true" outlineLevel="0" collapsed="false">
      <c r="A869" s="17"/>
      <c r="B869" s="17"/>
      <c r="C869" s="17"/>
      <c r="D869" s="17"/>
      <c r="E869" s="17"/>
      <c r="F869" s="17"/>
      <c r="G869" s="17"/>
      <c r="H869" s="17"/>
      <c r="I869" s="17"/>
      <c r="J869" s="6" t="str">
        <f aca="false">IF(F869="","",IF(AND(F869&gt;=4,G869&gt;=4,H869&gt;=4,I869&gt;=4),"Proficient",IF(AND(F869&lt;=2,G869&lt;=2,H869&lt;=2,I869&lt;=2),"Emerging","Progressing")))</f>
        <v/>
      </c>
      <c r="K869" s="6" t="str">
        <f aca="false">IF(F869="","",IF(J869="Proficient","Yes","No"))</f>
        <v/>
      </c>
      <c r="L869" s="6" t="str">
        <f aca="false">IF(F869="","",INDEX({"Listening","Speaking","Reading","Writing"},MATCH(MIN(F869:I869),F869:I869,0)))</f>
        <v/>
      </c>
      <c r="M869" s="17"/>
      <c r="N869" s="6" t="str">
        <f aca="false">IF(OR(F869="",M869=""),"",ROUND(AVERAGE(F869:I869)-M869,1))</f>
        <v/>
      </c>
      <c r="O869" s="17"/>
      <c r="P869" s="17"/>
      <c r="Q869" s="17"/>
    </row>
    <row r="870" customFormat="false" ht="15" hidden="false" customHeight="true" outlineLevel="0" collapsed="false">
      <c r="A870" s="17"/>
      <c r="B870" s="17"/>
      <c r="C870" s="17"/>
      <c r="D870" s="17"/>
      <c r="E870" s="17"/>
      <c r="F870" s="17"/>
      <c r="G870" s="17"/>
      <c r="H870" s="17"/>
      <c r="I870" s="17"/>
      <c r="J870" s="6" t="str">
        <f aca="false">IF(F870="","",IF(AND(F870&gt;=4,G870&gt;=4,H870&gt;=4,I870&gt;=4),"Proficient",IF(AND(F870&lt;=2,G870&lt;=2,H870&lt;=2,I870&lt;=2),"Emerging","Progressing")))</f>
        <v/>
      </c>
      <c r="K870" s="6" t="str">
        <f aca="false">IF(F870="","",IF(J870="Proficient","Yes","No"))</f>
        <v/>
      </c>
      <c r="L870" s="6" t="str">
        <f aca="false">IF(F870="","",INDEX({"Listening","Speaking","Reading","Writing"},MATCH(MIN(F870:I870),F870:I870,0)))</f>
        <v/>
      </c>
      <c r="M870" s="17"/>
      <c r="N870" s="6" t="str">
        <f aca="false">IF(OR(F870="",M870=""),"",ROUND(AVERAGE(F870:I870)-M870,1))</f>
        <v/>
      </c>
      <c r="O870" s="17"/>
      <c r="P870" s="17"/>
      <c r="Q870" s="17"/>
    </row>
    <row r="871" customFormat="false" ht="15" hidden="false" customHeight="true" outlineLevel="0" collapsed="false">
      <c r="A871" s="17"/>
      <c r="B871" s="17"/>
      <c r="C871" s="17"/>
      <c r="D871" s="17"/>
      <c r="E871" s="17"/>
      <c r="F871" s="17"/>
      <c r="G871" s="17"/>
      <c r="H871" s="17"/>
      <c r="I871" s="17"/>
      <c r="J871" s="6" t="str">
        <f aca="false">IF(F871="","",IF(AND(F871&gt;=4,G871&gt;=4,H871&gt;=4,I871&gt;=4),"Proficient",IF(AND(F871&lt;=2,G871&lt;=2,H871&lt;=2,I871&lt;=2),"Emerging","Progressing")))</f>
        <v/>
      </c>
      <c r="K871" s="6" t="str">
        <f aca="false">IF(F871="","",IF(J871="Proficient","Yes","No"))</f>
        <v/>
      </c>
      <c r="L871" s="6" t="str">
        <f aca="false">IF(F871="","",INDEX({"Listening","Speaking","Reading","Writing"},MATCH(MIN(F871:I871),F871:I871,0)))</f>
        <v/>
      </c>
      <c r="M871" s="17"/>
      <c r="N871" s="6" t="str">
        <f aca="false">IF(OR(F871="",M871=""),"",ROUND(AVERAGE(F871:I871)-M871,1))</f>
        <v/>
      </c>
      <c r="O871" s="17"/>
      <c r="P871" s="17"/>
      <c r="Q871" s="17"/>
    </row>
    <row r="872" customFormat="false" ht="15" hidden="false" customHeight="true" outlineLevel="0" collapsed="false">
      <c r="A872" s="17"/>
      <c r="B872" s="17"/>
      <c r="C872" s="17"/>
      <c r="D872" s="17"/>
      <c r="E872" s="17"/>
      <c r="F872" s="17"/>
      <c r="G872" s="17"/>
      <c r="H872" s="17"/>
      <c r="I872" s="17"/>
      <c r="J872" s="6" t="str">
        <f aca="false">IF(F872="","",IF(AND(F872&gt;=4,G872&gt;=4,H872&gt;=4,I872&gt;=4),"Proficient",IF(AND(F872&lt;=2,G872&lt;=2,H872&lt;=2,I872&lt;=2),"Emerging","Progressing")))</f>
        <v/>
      </c>
      <c r="K872" s="6" t="str">
        <f aca="false">IF(F872="","",IF(J872="Proficient","Yes","No"))</f>
        <v/>
      </c>
      <c r="L872" s="6" t="str">
        <f aca="false">IF(F872="","",INDEX({"Listening","Speaking","Reading","Writing"},MATCH(MIN(F872:I872),F872:I872,0)))</f>
        <v/>
      </c>
      <c r="M872" s="17"/>
      <c r="N872" s="6" t="str">
        <f aca="false">IF(OR(F872="",M872=""),"",ROUND(AVERAGE(F872:I872)-M872,1))</f>
        <v/>
      </c>
      <c r="O872" s="17"/>
      <c r="P872" s="17"/>
      <c r="Q872" s="17"/>
    </row>
    <row r="873" customFormat="false" ht="15" hidden="false" customHeight="true" outlineLevel="0" collapsed="false">
      <c r="A873" s="17"/>
      <c r="B873" s="17"/>
      <c r="C873" s="17"/>
      <c r="D873" s="17"/>
      <c r="E873" s="17"/>
      <c r="F873" s="17"/>
      <c r="G873" s="17"/>
      <c r="H873" s="17"/>
      <c r="I873" s="17"/>
      <c r="J873" s="6" t="str">
        <f aca="false">IF(F873="","",IF(AND(F873&gt;=4,G873&gt;=4,H873&gt;=4,I873&gt;=4),"Proficient",IF(AND(F873&lt;=2,G873&lt;=2,H873&lt;=2,I873&lt;=2),"Emerging","Progressing")))</f>
        <v/>
      </c>
      <c r="K873" s="6" t="str">
        <f aca="false">IF(F873="","",IF(J873="Proficient","Yes","No"))</f>
        <v/>
      </c>
      <c r="L873" s="6" t="str">
        <f aca="false">IF(F873="","",INDEX({"Listening","Speaking","Reading","Writing"},MATCH(MIN(F873:I873),F873:I873,0)))</f>
        <v/>
      </c>
      <c r="M873" s="17"/>
      <c r="N873" s="6" t="str">
        <f aca="false">IF(OR(F873="",M873=""),"",ROUND(AVERAGE(F873:I873)-M873,1))</f>
        <v/>
      </c>
      <c r="O873" s="17"/>
      <c r="P873" s="17"/>
      <c r="Q873" s="17"/>
    </row>
    <row r="874" customFormat="false" ht="15" hidden="false" customHeight="true" outlineLevel="0" collapsed="false">
      <c r="A874" s="17"/>
      <c r="B874" s="17"/>
      <c r="C874" s="17"/>
      <c r="D874" s="17"/>
      <c r="E874" s="17"/>
      <c r="F874" s="17"/>
      <c r="G874" s="17"/>
      <c r="H874" s="17"/>
      <c r="I874" s="17"/>
      <c r="J874" s="6" t="str">
        <f aca="false">IF(F874="","",IF(AND(F874&gt;=4,G874&gt;=4,H874&gt;=4,I874&gt;=4),"Proficient",IF(AND(F874&lt;=2,G874&lt;=2,H874&lt;=2,I874&lt;=2),"Emerging","Progressing")))</f>
        <v/>
      </c>
      <c r="K874" s="6" t="str">
        <f aca="false">IF(F874="","",IF(J874="Proficient","Yes","No"))</f>
        <v/>
      </c>
      <c r="L874" s="6" t="str">
        <f aca="false">IF(F874="","",INDEX({"Listening","Speaking","Reading","Writing"},MATCH(MIN(F874:I874),F874:I874,0)))</f>
        <v/>
      </c>
      <c r="M874" s="17"/>
      <c r="N874" s="6" t="str">
        <f aca="false">IF(OR(F874="",M874=""),"",ROUND(AVERAGE(F874:I874)-M874,1))</f>
        <v/>
      </c>
      <c r="O874" s="17"/>
      <c r="P874" s="17"/>
      <c r="Q874" s="17"/>
    </row>
    <row r="875" customFormat="false" ht="15" hidden="false" customHeight="true" outlineLevel="0" collapsed="false">
      <c r="A875" s="17"/>
      <c r="B875" s="17"/>
      <c r="C875" s="17"/>
      <c r="D875" s="17"/>
      <c r="E875" s="17"/>
      <c r="F875" s="17"/>
      <c r="G875" s="17"/>
      <c r="H875" s="17"/>
      <c r="I875" s="17"/>
      <c r="J875" s="6" t="str">
        <f aca="false">IF(F875="","",IF(AND(F875&gt;=4,G875&gt;=4,H875&gt;=4,I875&gt;=4),"Proficient",IF(AND(F875&lt;=2,G875&lt;=2,H875&lt;=2,I875&lt;=2),"Emerging","Progressing")))</f>
        <v/>
      </c>
      <c r="K875" s="6" t="str">
        <f aca="false">IF(F875="","",IF(J875="Proficient","Yes","No"))</f>
        <v/>
      </c>
      <c r="L875" s="6" t="str">
        <f aca="false">IF(F875="","",INDEX({"Listening","Speaking","Reading","Writing"},MATCH(MIN(F875:I875),F875:I875,0)))</f>
        <v/>
      </c>
      <c r="M875" s="17"/>
      <c r="N875" s="6" t="str">
        <f aca="false">IF(OR(F875="",M875=""),"",ROUND(AVERAGE(F875:I875)-M875,1))</f>
        <v/>
      </c>
      <c r="O875" s="17"/>
      <c r="P875" s="17"/>
      <c r="Q875" s="17"/>
    </row>
    <row r="876" customFormat="false" ht="15" hidden="false" customHeight="true" outlineLevel="0" collapsed="false">
      <c r="A876" s="17"/>
      <c r="B876" s="17"/>
      <c r="C876" s="17"/>
      <c r="D876" s="17"/>
      <c r="E876" s="17"/>
      <c r="F876" s="17"/>
      <c r="G876" s="17"/>
      <c r="H876" s="17"/>
      <c r="I876" s="17"/>
      <c r="J876" s="6" t="str">
        <f aca="false">IF(F876="","",IF(AND(F876&gt;=4,G876&gt;=4,H876&gt;=4,I876&gt;=4),"Proficient",IF(AND(F876&lt;=2,G876&lt;=2,H876&lt;=2,I876&lt;=2),"Emerging","Progressing")))</f>
        <v/>
      </c>
      <c r="K876" s="6" t="str">
        <f aca="false">IF(F876="","",IF(J876="Proficient","Yes","No"))</f>
        <v/>
      </c>
      <c r="L876" s="6" t="str">
        <f aca="false">IF(F876="","",INDEX({"Listening","Speaking","Reading","Writing"},MATCH(MIN(F876:I876),F876:I876,0)))</f>
        <v/>
      </c>
      <c r="M876" s="17"/>
      <c r="N876" s="6" t="str">
        <f aca="false">IF(OR(F876="",M876=""),"",ROUND(AVERAGE(F876:I876)-M876,1))</f>
        <v/>
      </c>
      <c r="O876" s="17"/>
      <c r="P876" s="17"/>
      <c r="Q876" s="17"/>
    </row>
    <row r="877" customFormat="false" ht="15" hidden="false" customHeight="true" outlineLevel="0" collapsed="false">
      <c r="A877" s="17"/>
      <c r="B877" s="17"/>
      <c r="C877" s="17"/>
      <c r="D877" s="17"/>
      <c r="E877" s="17"/>
      <c r="F877" s="17"/>
      <c r="G877" s="17"/>
      <c r="H877" s="17"/>
      <c r="I877" s="17"/>
      <c r="J877" s="6" t="str">
        <f aca="false">IF(F877="","",IF(AND(F877&gt;=4,G877&gt;=4,H877&gt;=4,I877&gt;=4),"Proficient",IF(AND(F877&lt;=2,G877&lt;=2,H877&lt;=2,I877&lt;=2),"Emerging","Progressing")))</f>
        <v/>
      </c>
      <c r="K877" s="6" t="str">
        <f aca="false">IF(F877="","",IF(J877="Proficient","Yes","No"))</f>
        <v/>
      </c>
      <c r="L877" s="6" t="str">
        <f aca="false">IF(F877="","",INDEX({"Listening","Speaking","Reading","Writing"},MATCH(MIN(F877:I877),F877:I877,0)))</f>
        <v/>
      </c>
      <c r="M877" s="17"/>
      <c r="N877" s="6" t="str">
        <f aca="false">IF(OR(F877="",M877=""),"",ROUND(AVERAGE(F877:I877)-M877,1))</f>
        <v/>
      </c>
      <c r="O877" s="17"/>
      <c r="P877" s="17"/>
      <c r="Q877" s="17"/>
    </row>
    <row r="878" customFormat="false" ht="15" hidden="false" customHeight="true" outlineLevel="0" collapsed="false">
      <c r="A878" s="17"/>
      <c r="B878" s="17"/>
      <c r="C878" s="17"/>
      <c r="D878" s="17"/>
      <c r="E878" s="17"/>
      <c r="F878" s="17"/>
      <c r="G878" s="17"/>
      <c r="H878" s="17"/>
      <c r="I878" s="17"/>
      <c r="J878" s="6" t="str">
        <f aca="false">IF(F878="","",IF(AND(F878&gt;=4,G878&gt;=4,H878&gt;=4,I878&gt;=4),"Proficient",IF(AND(F878&lt;=2,G878&lt;=2,H878&lt;=2,I878&lt;=2),"Emerging","Progressing")))</f>
        <v/>
      </c>
      <c r="K878" s="6" t="str">
        <f aca="false">IF(F878="","",IF(J878="Proficient","Yes","No"))</f>
        <v/>
      </c>
      <c r="L878" s="6" t="str">
        <f aca="false">IF(F878="","",INDEX({"Listening","Speaking","Reading","Writing"},MATCH(MIN(F878:I878),F878:I878,0)))</f>
        <v/>
      </c>
      <c r="M878" s="17"/>
      <c r="N878" s="6" t="str">
        <f aca="false">IF(OR(F878="",M878=""),"",ROUND(AVERAGE(F878:I878)-M878,1))</f>
        <v/>
      </c>
      <c r="O878" s="17"/>
      <c r="P878" s="17"/>
      <c r="Q878" s="17"/>
    </row>
    <row r="879" customFormat="false" ht="15" hidden="false" customHeight="true" outlineLevel="0" collapsed="false">
      <c r="A879" s="17"/>
      <c r="B879" s="17"/>
      <c r="C879" s="17"/>
      <c r="D879" s="17"/>
      <c r="E879" s="17"/>
      <c r="F879" s="17"/>
      <c r="G879" s="17"/>
      <c r="H879" s="17"/>
      <c r="I879" s="17"/>
      <c r="J879" s="6" t="str">
        <f aca="false">IF(F879="","",IF(AND(F879&gt;=4,G879&gt;=4,H879&gt;=4,I879&gt;=4),"Proficient",IF(AND(F879&lt;=2,G879&lt;=2,H879&lt;=2,I879&lt;=2),"Emerging","Progressing")))</f>
        <v/>
      </c>
      <c r="K879" s="6" t="str">
        <f aca="false">IF(F879="","",IF(J879="Proficient","Yes","No"))</f>
        <v/>
      </c>
      <c r="L879" s="6" t="str">
        <f aca="false">IF(F879="","",INDEX({"Listening","Speaking","Reading","Writing"},MATCH(MIN(F879:I879),F879:I879,0)))</f>
        <v/>
      </c>
      <c r="M879" s="17"/>
      <c r="N879" s="6" t="str">
        <f aca="false">IF(OR(F879="",M879=""),"",ROUND(AVERAGE(F879:I879)-M879,1))</f>
        <v/>
      </c>
      <c r="O879" s="17"/>
      <c r="P879" s="17"/>
      <c r="Q879" s="17"/>
    </row>
    <row r="880" customFormat="false" ht="15" hidden="false" customHeight="true" outlineLevel="0" collapsed="false">
      <c r="A880" s="17"/>
      <c r="B880" s="17"/>
      <c r="C880" s="17"/>
      <c r="D880" s="17"/>
      <c r="E880" s="17"/>
      <c r="F880" s="17"/>
      <c r="G880" s="17"/>
      <c r="H880" s="17"/>
      <c r="I880" s="17"/>
      <c r="J880" s="6" t="str">
        <f aca="false">IF(F880="","",IF(AND(F880&gt;=4,G880&gt;=4,H880&gt;=4,I880&gt;=4),"Proficient",IF(AND(F880&lt;=2,G880&lt;=2,H880&lt;=2,I880&lt;=2),"Emerging","Progressing")))</f>
        <v/>
      </c>
      <c r="K880" s="6" t="str">
        <f aca="false">IF(F880="","",IF(J880="Proficient","Yes","No"))</f>
        <v/>
      </c>
      <c r="L880" s="6" t="str">
        <f aca="false">IF(F880="","",INDEX({"Listening","Speaking","Reading","Writing"},MATCH(MIN(F880:I880),F880:I880,0)))</f>
        <v/>
      </c>
      <c r="M880" s="17"/>
      <c r="N880" s="6" t="str">
        <f aca="false">IF(OR(F880="",M880=""),"",ROUND(AVERAGE(F880:I880)-M880,1))</f>
        <v/>
      </c>
      <c r="O880" s="17"/>
      <c r="P880" s="17"/>
      <c r="Q880" s="17"/>
    </row>
    <row r="881" customFormat="false" ht="15" hidden="false" customHeight="true" outlineLevel="0" collapsed="false">
      <c r="A881" s="17"/>
      <c r="B881" s="17"/>
      <c r="C881" s="17"/>
      <c r="D881" s="17"/>
      <c r="E881" s="17"/>
      <c r="F881" s="17"/>
      <c r="G881" s="17"/>
      <c r="H881" s="17"/>
      <c r="I881" s="17"/>
      <c r="J881" s="6" t="str">
        <f aca="false">IF(F881="","",IF(AND(F881&gt;=4,G881&gt;=4,H881&gt;=4,I881&gt;=4),"Proficient",IF(AND(F881&lt;=2,G881&lt;=2,H881&lt;=2,I881&lt;=2),"Emerging","Progressing")))</f>
        <v/>
      </c>
      <c r="K881" s="6" t="str">
        <f aca="false">IF(F881="","",IF(J881="Proficient","Yes","No"))</f>
        <v/>
      </c>
      <c r="L881" s="6" t="str">
        <f aca="false">IF(F881="","",INDEX({"Listening","Speaking","Reading","Writing"},MATCH(MIN(F881:I881),F881:I881,0)))</f>
        <v/>
      </c>
      <c r="M881" s="17"/>
      <c r="N881" s="6" t="str">
        <f aca="false">IF(OR(F881="",M881=""),"",ROUND(AVERAGE(F881:I881)-M881,1))</f>
        <v/>
      </c>
      <c r="O881" s="17"/>
      <c r="P881" s="17"/>
      <c r="Q881" s="17"/>
    </row>
    <row r="882" customFormat="false" ht="15" hidden="false" customHeight="true" outlineLevel="0" collapsed="false">
      <c r="A882" s="17"/>
      <c r="B882" s="17"/>
      <c r="C882" s="17"/>
      <c r="D882" s="17"/>
      <c r="E882" s="17"/>
      <c r="F882" s="17"/>
      <c r="G882" s="17"/>
      <c r="H882" s="17"/>
      <c r="I882" s="17"/>
      <c r="J882" s="6" t="str">
        <f aca="false">IF(F882="","",IF(AND(F882&gt;=4,G882&gt;=4,H882&gt;=4,I882&gt;=4),"Proficient",IF(AND(F882&lt;=2,G882&lt;=2,H882&lt;=2,I882&lt;=2),"Emerging","Progressing")))</f>
        <v/>
      </c>
      <c r="K882" s="6" t="str">
        <f aca="false">IF(F882="","",IF(J882="Proficient","Yes","No"))</f>
        <v/>
      </c>
      <c r="L882" s="6" t="str">
        <f aca="false">IF(F882="","",INDEX({"Listening","Speaking","Reading","Writing"},MATCH(MIN(F882:I882),F882:I882,0)))</f>
        <v/>
      </c>
      <c r="M882" s="17"/>
      <c r="N882" s="6" t="str">
        <f aca="false">IF(OR(F882="",M882=""),"",ROUND(AVERAGE(F882:I882)-M882,1))</f>
        <v/>
      </c>
      <c r="O882" s="17"/>
      <c r="P882" s="17"/>
      <c r="Q882" s="17"/>
    </row>
    <row r="883" customFormat="false" ht="15" hidden="false" customHeight="true" outlineLevel="0" collapsed="false">
      <c r="A883" s="17"/>
      <c r="B883" s="17"/>
      <c r="C883" s="17"/>
      <c r="D883" s="17"/>
      <c r="E883" s="17"/>
      <c r="F883" s="17"/>
      <c r="G883" s="17"/>
      <c r="H883" s="17"/>
      <c r="I883" s="17"/>
      <c r="J883" s="6" t="str">
        <f aca="false">IF(F883="","",IF(AND(F883&gt;=4,G883&gt;=4,H883&gt;=4,I883&gt;=4),"Proficient",IF(AND(F883&lt;=2,G883&lt;=2,H883&lt;=2,I883&lt;=2),"Emerging","Progressing")))</f>
        <v/>
      </c>
      <c r="K883" s="6" t="str">
        <f aca="false">IF(F883="","",IF(J883="Proficient","Yes","No"))</f>
        <v/>
      </c>
      <c r="L883" s="6" t="str">
        <f aca="false">IF(F883="","",INDEX({"Listening","Speaking","Reading","Writing"},MATCH(MIN(F883:I883),F883:I883,0)))</f>
        <v/>
      </c>
      <c r="M883" s="17"/>
      <c r="N883" s="6" t="str">
        <f aca="false">IF(OR(F883="",M883=""),"",ROUND(AVERAGE(F883:I883)-M883,1))</f>
        <v/>
      </c>
      <c r="O883" s="17"/>
      <c r="P883" s="17"/>
      <c r="Q883" s="17"/>
    </row>
    <row r="884" customFormat="false" ht="15" hidden="false" customHeight="true" outlineLevel="0" collapsed="false">
      <c r="A884" s="17"/>
      <c r="B884" s="17"/>
      <c r="C884" s="17"/>
      <c r="D884" s="17"/>
      <c r="E884" s="17"/>
      <c r="F884" s="17"/>
      <c r="G884" s="17"/>
      <c r="H884" s="17"/>
      <c r="I884" s="17"/>
      <c r="J884" s="6" t="str">
        <f aca="false">IF(F884="","",IF(AND(F884&gt;=4,G884&gt;=4,H884&gt;=4,I884&gt;=4),"Proficient",IF(AND(F884&lt;=2,G884&lt;=2,H884&lt;=2,I884&lt;=2),"Emerging","Progressing")))</f>
        <v/>
      </c>
      <c r="K884" s="6" t="str">
        <f aca="false">IF(F884="","",IF(J884="Proficient","Yes","No"))</f>
        <v/>
      </c>
      <c r="L884" s="6" t="str">
        <f aca="false">IF(F884="","",INDEX({"Listening","Speaking","Reading","Writing"},MATCH(MIN(F884:I884),F884:I884,0)))</f>
        <v/>
      </c>
      <c r="M884" s="17"/>
      <c r="N884" s="6" t="str">
        <f aca="false">IF(OR(F884="",M884=""),"",ROUND(AVERAGE(F884:I884)-M884,1))</f>
        <v/>
      </c>
      <c r="O884" s="17"/>
      <c r="P884" s="17"/>
      <c r="Q884" s="17"/>
    </row>
    <row r="885" customFormat="false" ht="15" hidden="false" customHeight="true" outlineLevel="0" collapsed="false">
      <c r="A885" s="17"/>
      <c r="B885" s="17"/>
      <c r="C885" s="17"/>
      <c r="D885" s="17"/>
      <c r="E885" s="17"/>
      <c r="F885" s="17"/>
      <c r="G885" s="17"/>
      <c r="H885" s="17"/>
      <c r="I885" s="17"/>
      <c r="J885" s="6" t="str">
        <f aca="false">IF(F885="","",IF(AND(F885&gt;=4,G885&gt;=4,H885&gt;=4,I885&gt;=4),"Proficient",IF(AND(F885&lt;=2,G885&lt;=2,H885&lt;=2,I885&lt;=2),"Emerging","Progressing")))</f>
        <v/>
      </c>
      <c r="K885" s="6" t="str">
        <f aca="false">IF(F885="","",IF(J885="Proficient","Yes","No"))</f>
        <v/>
      </c>
      <c r="L885" s="6" t="str">
        <f aca="false">IF(F885="","",INDEX({"Listening","Speaking","Reading","Writing"},MATCH(MIN(F885:I885),F885:I885,0)))</f>
        <v/>
      </c>
      <c r="M885" s="17"/>
      <c r="N885" s="6" t="str">
        <f aca="false">IF(OR(F885="",M885=""),"",ROUND(AVERAGE(F885:I885)-M885,1))</f>
        <v/>
      </c>
      <c r="O885" s="17"/>
      <c r="P885" s="17"/>
      <c r="Q885" s="17"/>
    </row>
    <row r="886" customFormat="false" ht="15" hidden="false" customHeight="true" outlineLevel="0" collapsed="false">
      <c r="A886" s="17"/>
      <c r="B886" s="17"/>
      <c r="C886" s="17"/>
      <c r="D886" s="17"/>
      <c r="E886" s="17"/>
      <c r="F886" s="17"/>
      <c r="G886" s="17"/>
      <c r="H886" s="17"/>
      <c r="I886" s="17"/>
      <c r="J886" s="6" t="str">
        <f aca="false">IF(F886="","",IF(AND(F886&gt;=4,G886&gt;=4,H886&gt;=4,I886&gt;=4),"Proficient",IF(AND(F886&lt;=2,G886&lt;=2,H886&lt;=2,I886&lt;=2),"Emerging","Progressing")))</f>
        <v/>
      </c>
      <c r="K886" s="6" t="str">
        <f aca="false">IF(F886="","",IF(J886="Proficient","Yes","No"))</f>
        <v/>
      </c>
      <c r="L886" s="6" t="str">
        <f aca="false">IF(F886="","",INDEX({"Listening","Speaking","Reading","Writing"},MATCH(MIN(F886:I886),F886:I886,0)))</f>
        <v/>
      </c>
      <c r="M886" s="17"/>
      <c r="N886" s="6" t="str">
        <f aca="false">IF(OR(F886="",M886=""),"",ROUND(AVERAGE(F886:I886)-M886,1))</f>
        <v/>
      </c>
      <c r="O886" s="17"/>
      <c r="P886" s="17"/>
      <c r="Q886" s="17"/>
    </row>
    <row r="887" customFormat="false" ht="15" hidden="false" customHeight="true" outlineLevel="0" collapsed="false">
      <c r="A887" s="17"/>
      <c r="B887" s="17"/>
      <c r="C887" s="17"/>
      <c r="D887" s="17"/>
      <c r="E887" s="17"/>
      <c r="F887" s="17"/>
      <c r="G887" s="17"/>
      <c r="H887" s="17"/>
      <c r="I887" s="17"/>
      <c r="J887" s="6" t="str">
        <f aca="false">IF(F887="","",IF(AND(F887&gt;=4,G887&gt;=4,H887&gt;=4,I887&gt;=4),"Proficient",IF(AND(F887&lt;=2,G887&lt;=2,H887&lt;=2,I887&lt;=2),"Emerging","Progressing")))</f>
        <v/>
      </c>
      <c r="K887" s="6" t="str">
        <f aca="false">IF(F887="","",IF(J887="Proficient","Yes","No"))</f>
        <v/>
      </c>
      <c r="L887" s="6" t="str">
        <f aca="false">IF(F887="","",INDEX({"Listening","Speaking","Reading","Writing"},MATCH(MIN(F887:I887),F887:I887,0)))</f>
        <v/>
      </c>
      <c r="M887" s="17"/>
      <c r="N887" s="6" t="str">
        <f aca="false">IF(OR(F887="",M887=""),"",ROUND(AVERAGE(F887:I887)-M887,1))</f>
        <v/>
      </c>
      <c r="O887" s="17"/>
      <c r="P887" s="17"/>
      <c r="Q887" s="17"/>
    </row>
    <row r="888" customFormat="false" ht="15" hidden="false" customHeight="true" outlineLevel="0" collapsed="false">
      <c r="A888" s="17"/>
      <c r="B888" s="17"/>
      <c r="C888" s="17"/>
      <c r="D888" s="17"/>
      <c r="E888" s="17"/>
      <c r="F888" s="17"/>
      <c r="G888" s="17"/>
      <c r="H888" s="17"/>
      <c r="I888" s="17"/>
      <c r="J888" s="6" t="str">
        <f aca="false">IF(F888="","",IF(AND(F888&gt;=4,G888&gt;=4,H888&gt;=4,I888&gt;=4),"Proficient",IF(AND(F888&lt;=2,G888&lt;=2,H888&lt;=2,I888&lt;=2),"Emerging","Progressing")))</f>
        <v/>
      </c>
      <c r="K888" s="6" t="str">
        <f aca="false">IF(F888="","",IF(J888="Proficient","Yes","No"))</f>
        <v/>
      </c>
      <c r="L888" s="6" t="str">
        <f aca="false">IF(F888="","",INDEX({"Listening","Speaking","Reading","Writing"},MATCH(MIN(F888:I888),F888:I888,0)))</f>
        <v/>
      </c>
      <c r="M888" s="17"/>
      <c r="N888" s="6" t="str">
        <f aca="false">IF(OR(F888="",M888=""),"",ROUND(AVERAGE(F888:I888)-M888,1))</f>
        <v/>
      </c>
      <c r="O888" s="17"/>
      <c r="P888" s="17"/>
      <c r="Q888" s="17"/>
    </row>
    <row r="889" customFormat="false" ht="15" hidden="false" customHeight="true" outlineLevel="0" collapsed="false">
      <c r="A889" s="17"/>
      <c r="B889" s="17"/>
      <c r="C889" s="17"/>
      <c r="D889" s="17"/>
      <c r="E889" s="17"/>
      <c r="F889" s="17"/>
      <c r="G889" s="17"/>
      <c r="H889" s="17"/>
      <c r="I889" s="17"/>
      <c r="J889" s="6" t="str">
        <f aca="false">IF(F889="","",IF(AND(F889&gt;=4,G889&gt;=4,H889&gt;=4,I889&gt;=4),"Proficient",IF(AND(F889&lt;=2,G889&lt;=2,H889&lt;=2,I889&lt;=2),"Emerging","Progressing")))</f>
        <v/>
      </c>
      <c r="K889" s="6" t="str">
        <f aca="false">IF(F889="","",IF(J889="Proficient","Yes","No"))</f>
        <v/>
      </c>
      <c r="L889" s="6" t="str">
        <f aca="false">IF(F889="","",INDEX({"Listening","Speaking","Reading","Writing"},MATCH(MIN(F889:I889),F889:I889,0)))</f>
        <v/>
      </c>
      <c r="M889" s="17"/>
      <c r="N889" s="6" t="str">
        <f aca="false">IF(OR(F889="",M889=""),"",ROUND(AVERAGE(F889:I889)-M889,1))</f>
        <v/>
      </c>
      <c r="O889" s="17"/>
      <c r="P889" s="17"/>
      <c r="Q889" s="17"/>
    </row>
    <row r="890" customFormat="false" ht="15" hidden="false" customHeight="true" outlineLevel="0" collapsed="false">
      <c r="A890" s="17"/>
      <c r="B890" s="17"/>
      <c r="C890" s="17"/>
      <c r="D890" s="17"/>
      <c r="E890" s="17"/>
      <c r="F890" s="17"/>
      <c r="G890" s="17"/>
      <c r="H890" s="17"/>
      <c r="I890" s="17"/>
      <c r="J890" s="6" t="str">
        <f aca="false">IF(F890="","",IF(AND(F890&gt;=4,G890&gt;=4,H890&gt;=4,I890&gt;=4),"Proficient",IF(AND(F890&lt;=2,G890&lt;=2,H890&lt;=2,I890&lt;=2),"Emerging","Progressing")))</f>
        <v/>
      </c>
      <c r="K890" s="6" t="str">
        <f aca="false">IF(F890="","",IF(J890="Proficient","Yes","No"))</f>
        <v/>
      </c>
      <c r="L890" s="6" t="str">
        <f aca="false">IF(F890="","",INDEX({"Listening","Speaking","Reading","Writing"},MATCH(MIN(F890:I890),F890:I890,0)))</f>
        <v/>
      </c>
      <c r="M890" s="17"/>
      <c r="N890" s="6" t="str">
        <f aca="false">IF(OR(F890="",M890=""),"",ROUND(AVERAGE(F890:I890)-M890,1))</f>
        <v/>
      </c>
      <c r="O890" s="17"/>
      <c r="P890" s="17"/>
      <c r="Q890" s="17"/>
    </row>
    <row r="891" customFormat="false" ht="15" hidden="false" customHeight="true" outlineLevel="0" collapsed="false">
      <c r="A891" s="17"/>
      <c r="B891" s="17"/>
      <c r="C891" s="17"/>
      <c r="D891" s="17"/>
      <c r="E891" s="17"/>
      <c r="F891" s="17"/>
      <c r="G891" s="17"/>
      <c r="H891" s="17"/>
      <c r="I891" s="17"/>
      <c r="J891" s="6" t="str">
        <f aca="false">IF(F891="","",IF(AND(F891&gt;=4,G891&gt;=4,H891&gt;=4,I891&gt;=4),"Proficient",IF(AND(F891&lt;=2,G891&lt;=2,H891&lt;=2,I891&lt;=2),"Emerging","Progressing")))</f>
        <v/>
      </c>
      <c r="K891" s="6" t="str">
        <f aca="false">IF(F891="","",IF(J891="Proficient","Yes","No"))</f>
        <v/>
      </c>
      <c r="L891" s="6" t="str">
        <f aca="false">IF(F891="","",INDEX({"Listening","Speaking","Reading","Writing"},MATCH(MIN(F891:I891),F891:I891,0)))</f>
        <v/>
      </c>
      <c r="M891" s="17"/>
      <c r="N891" s="6" t="str">
        <f aca="false">IF(OR(F891="",M891=""),"",ROUND(AVERAGE(F891:I891)-M891,1))</f>
        <v/>
      </c>
      <c r="O891" s="17"/>
      <c r="P891" s="17"/>
      <c r="Q891" s="17"/>
    </row>
    <row r="892" customFormat="false" ht="15" hidden="false" customHeight="true" outlineLevel="0" collapsed="false">
      <c r="A892" s="17"/>
      <c r="B892" s="17"/>
      <c r="C892" s="17"/>
      <c r="D892" s="17"/>
      <c r="E892" s="17"/>
      <c r="F892" s="17"/>
      <c r="G892" s="17"/>
      <c r="H892" s="17"/>
      <c r="I892" s="17"/>
      <c r="J892" s="6" t="str">
        <f aca="false">IF(F892="","",IF(AND(F892&gt;=4,G892&gt;=4,H892&gt;=4,I892&gt;=4),"Proficient",IF(AND(F892&lt;=2,G892&lt;=2,H892&lt;=2,I892&lt;=2),"Emerging","Progressing")))</f>
        <v/>
      </c>
      <c r="K892" s="6" t="str">
        <f aca="false">IF(F892="","",IF(J892="Proficient","Yes","No"))</f>
        <v/>
      </c>
      <c r="L892" s="6" t="str">
        <f aca="false">IF(F892="","",INDEX({"Listening","Speaking","Reading","Writing"},MATCH(MIN(F892:I892),F892:I892,0)))</f>
        <v/>
      </c>
      <c r="M892" s="17"/>
      <c r="N892" s="6" t="str">
        <f aca="false">IF(OR(F892="",M892=""),"",ROUND(AVERAGE(F892:I892)-M892,1))</f>
        <v/>
      </c>
      <c r="O892" s="17"/>
      <c r="P892" s="17"/>
      <c r="Q892" s="17"/>
    </row>
    <row r="893" customFormat="false" ht="15" hidden="false" customHeight="true" outlineLevel="0" collapsed="false">
      <c r="A893" s="17"/>
      <c r="B893" s="17"/>
      <c r="C893" s="17"/>
      <c r="D893" s="17"/>
      <c r="E893" s="17"/>
      <c r="F893" s="17"/>
      <c r="G893" s="17"/>
      <c r="H893" s="17"/>
      <c r="I893" s="17"/>
      <c r="J893" s="6" t="str">
        <f aca="false">IF(F893="","",IF(AND(F893&gt;=4,G893&gt;=4,H893&gt;=4,I893&gt;=4),"Proficient",IF(AND(F893&lt;=2,G893&lt;=2,H893&lt;=2,I893&lt;=2),"Emerging","Progressing")))</f>
        <v/>
      </c>
      <c r="K893" s="6" t="str">
        <f aca="false">IF(F893="","",IF(J893="Proficient","Yes","No"))</f>
        <v/>
      </c>
      <c r="L893" s="6" t="str">
        <f aca="false">IF(F893="","",INDEX({"Listening","Speaking","Reading","Writing"},MATCH(MIN(F893:I893),F893:I893,0)))</f>
        <v/>
      </c>
      <c r="M893" s="17"/>
      <c r="N893" s="6" t="str">
        <f aca="false">IF(OR(F893="",M893=""),"",ROUND(AVERAGE(F893:I893)-M893,1))</f>
        <v/>
      </c>
      <c r="O893" s="17"/>
      <c r="P893" s="17"/>
      <c r="Q893" s="17"/>
    </row>
    <row r="894" customFormat="false" ht="15" hidden="false" customHeight="true" outlineLevel="0" collapsed="false">
      <c r="A894" s="17"/>
      <c r="B894" s="17"/>
      <c r="C894" s="17"/>
      <c r="D894" s="17"/>
      <c r="E894" s="17"/>
      <c r="F894" s="17"/>
      <c r="G894" s="17"/>
      <c r="H894" s="17"/>
      <c r="I894" s="17"/>
      <c r="J894" s="6" t="str">
        <f aca="false">IF(F894="","",IF(AND(F894&gt;=4,G894&gt;=4,H894&gt;=4,I894&gt;=4),"Proficient",IF(AND(F894&lt;=2,G894&lt;=2,H894&lt;=2,I894&lt;=2),"Emerging","Progressing")))</f>
        <v/>
      </c>
      <c r="K894" s="6" t="str">
        <f aca="false">IF(F894="","",IF(J894="Proficient","Yes","No"))</f>
        <v/>
      </c>
      <c r="L894" s="6" t="str">
        <f aca="false">IF(F894="","",INDEX({"Listening","Speaking","Reading","Writing"},MATCH(MIN(F894:I894),F894:I894,0)))</f>
        <v/>
      </c>
      <c r="M894" s="17"/>
      <c r="N894" s="6" t="str">
        <f aca="false">IF(OR(F894="",M894=""),"",ROUND(AVERAGE(F894:I894)-M894,1))</f>
        <v/>
      </c>
      <c r="O894" s="17"/>
      <c r="P894" s="17"/>
      <c r="Q894" s="17"/>
    </row>
    <row r="895" customFormat="false" ht="15" hidden="false" customHeight="true" outlineLevel="0" collapsed="false">
      <c r="A895" s="17"/>
      <c r="B895" s="17"/>
      <c r="C895" s="17"/>
      <c r="D895" s="17"/>
      <c r="E895" s="17"/>
      <c r="F895" s="17"/>
      <c r="G895" s="17"/>
      <c r="H895" s="17"/>
      <c r="I895" s="17"/>
      <c r="J895" s="6" t="str">
        <f aca="false">IF(F895="","",IF(AND(F895&gt;=4,G895&gt;=4,H895&gt;=4,I895&gt;=4),"Proficient",IF(AND(F895&lt;=2,G895&lt;=2,H895&lt;=2,I895&lt;=2),"Emerging","Progressing")))</f>
        <v/>
      </c>
      <c r="K895" s="6" t="str">
        <f aca="false">IF(F895="","",IF(J895="Proficient","Yes","No"))</f>
        <v/>
      </c>
      <c r="L895" s="6" t="str">
        <f aca="false">IF(F895="","",INDEX({"Listening","Speaking","Reading","Writing"},MATCH(MIN(F895:I895),F895:I895,0)))</f>
        <v/>
      </c>
      <c r="M895" s="17"/>
      <c r="N895" s="6" t="str">
        <f aca="false">IF(OR(F895="",M895=""),"",ROUND(AVERAGE(F895:I895)-M895,1))</f>
        <v/>
      </c>
      <c r="O895" s="17"/>
      <c r="P895" s="17"/>
      <c r="Q895" s="17"/>
    </row>
    <row r="896" customFormat="false" ht="15" hidden="false" customHeight="true" outlineLevel="0" collapsed="false">
      <c r="A896" s="17"/>
      <c r="B896" s="17"/>
      <c r="C896" s="17"/>
      <c r="D896" s="17"/>
      <c r="E896" s="17"/>
      <c r="F896" s="17"/>
      <c r="G896" s="17"/>
      <c r="H896" s="17"/>
      <c r="I896" s="17"/>
      <c r="J896" s="6" t="str">
        <f aca="false">IF(F896="","",IF(AND(F896&gt;=4,G896&gt;=4,H896&gt;=4,I896&gt;=4),"Proficient",IF(AND(F896&lt;=2,G896&lt;=2,H896&lt;=2,I896&lt;=2),"Emerging","Progressing")))</f>
        <v/>
      </c>
      <c r="K896" s="6" t="str">
        <f aca="false">IF(F896="","",IF(J896="Proficient","Yes","No"))</f>
        <v/>
      </c>
      <c r="L896" s="6" t="str">
        <f aca="false">IF(F896="","",INDEX({"Listening","Speaking","Reading","Writing"},MATCH(MIN(F896:I896),F896:I896,0)))</f>
        <v/>
      </c>
      <c r="M896" s="17"/>
      <c r="N896" s="6" t="str">
        <f aca="false">IF(OR(F896="",M896=""),"",ROUND(AVERAGE(F896:I896)-M896,1))</f>
        <v/>
      </c>
      <c r="O896" s="17"/>
      <c r="P896" s="17"/>
      <c r="Q896" s="17"/>
    </row>
    <row r="897" customFormat="false" ht="15" hidden="false" customHeight="true" outlineLevel="0" collapsed="false">
      <c r="A897" s="17"/>
      <c r="B897" s="17"/>
      <c r="C897" s="17"/>
      <c r="D897" s="17"/>
      <c r="E897" s="17"/>
      <c r="F897" s="17"/>
      <c r="G897" s="17"/>
      <c r="H897" s="17"/>
      <c r="I897" s="17"/>
      <c r="J897" s="6" t="str">
        <f aca="false">IF(F897="","",IF(AND(F897&gt;=4,G897&gt;=4,H897&gt;=4,I897&gt;=4),"Proficient",IF(AND(F897&lt;=2,G897&lt;=2,H897&lt;=2,I897&lt;=2),"Emerging","Progressing")))</f>
        <v/>
      </c>
      <c r="K897" s="6" t="str">
        <f aca="false">IF(F897="","",IF(J897="Proficient","Yes","No"))</f>
        <v/>
      </c>
      <c r="L897" s="6" t="str">
        <f aca="false">IF(F897="","",INDEX({"Listening","Speaking","Reading","Writing"},MATCH(MIN(F897:I897),F897:I897,0)))</f>
        <v/>
      </c>
      <c r="M897" s="17"/>
      <c r="N897" s="6" t="str">
        <f aca="false">IF(OR(F897="",M897=""),"",ROUND(AVERAGE(F897:I897)-M897,1))</f>
        <v/>
      </c>
      <c r="O897" s="17"/>
      <c r="P897" s="17"/>
      <c r="Q897" s="17"/>
    </row>
    <row r="898" customFormat="false" ht="15" hidden="false" customHeight="true" outlineLevel="0" collapsed="false">
      <c r="A898" s="17"/>
      <c r="B898" s="17"/>
      <c r="C898" s="17"/>
      <c r="D898" s="17"/>
      <c r="E898" s="17"/>
      <c r="F898" s="17"/>
      <c r="G898" s="17"/>
      <c r="H898" s="17"/>
      <c r="I898" s="17"/>
      <c r="J898" s="6" t="str">
        <f aca="false">IF(F898="","",IF(AND(F898&gt;=4,G898&gt;=4,H898&gt;=4,I898&gt;=4),"Proficient",IF(AND(F898&lt;=2,G898&lt;=2,H898&lt;=2,I898&lt;=2),"Emerging","Progressing")))</f>
        <v/>
      </c>
      <c r="K898" s="6" t="str">
        <f aca="false">IF(F898="","",IF(J898="Proficient","Yes","No"))</f>
        <v/>
      </c>
      <c r="L898" s="6" t="str">
        <f aca="false">IF(F898="","",INDEX({"Listening","Speaking","Reading","Writing"},MATCH(MIN(F898:I898),F898:I898,0)))</f>
        <v/>
      </c>
      <c r="M898" s="17"/>
      <c r="N898" s="6" t="str">
        <f aca="false">IF(OR(F898="",M898=""),"",ROUND(AVERAGE(F898:I898)-M898,1))</f>
        <v/>
      </c>
      <c r="O898" s="17"/>
      <c r="P898" s="17"/>
      <c r="Q898" s="17"/>
    </row>
    <row r="899" customFormat="false" ht="15" hidden="false" customHeight="true" outlineLevel="0" collapsed="false">
      <c r="A899" s="17"/>
      <c r="B899" s="17"/>
      <c r="C899" s="17"/>
      <c r="D899" s="17"/>
      <c r="E899" s="17"/>
      <c r="F899" s="17"/>
      <c r="G899" s="17"/>
      <c r="H899" s="17"/>
      <c r="I899" s="17"/>
      <c r="J899" s="6" t="str">
        <f aca="false">IF(F899="","",IF(AND(F899&gt;=4,G899&gt;=4,H899&gt;=4,I899&gt;=4),"Proficient",IF(AND(F899&lt;=2,G899&lt;=2,H899&lt;=2,I899&lt;=2),"Emerging","Progressing")))</f>
        <v/>
      </c>
      <c r="K899" s="6" t="str">
        <f aca="false">IF(F899="","",IF(J899="Proficient","Yes","No"))</f>
        <v/>
      </c>
      <c r="L899" s="6" t="str">
        <f aca="false">IF(F899="","",INDEX({"Listening","Speaking","Reading","Writing"},MATCH(MIN(F899:I899),F899:I899,0)))</f>
        <v/>
      </c>
      <c r="M899" s="17"/>
      <c r="N899" s="6" t="str">
        <f aca="false">IF(OR(F899="",M899=""),"",ROUND(AVERAGE(F899:I899)-M899,1))</f>
        <v/>
      </c>
      <c r="O899" s="17"/>
      <c r="P899" s="17"/>
      <c r="Q899" s="17"/>
    </row>
    <row r="900" customFormat="false" ht="15" hidden="false" customHeight="true" outlineLevel="0" collapsed="false">
      <c r="A900" s="17"/>
      <c r="B900" s="17"/>
      <c r="C900" s="17"/>
      <c r="D900" s="17"/>
      <c r="E900" s="17"/>
      <c r="F900" s="17"/>
      <c r="G900" s="17"/>
      <c r="H900" s="17"/>
      <c r="I900" s="17"/>
      <c r="J900" s="6" t="str">
        <f aca="false">IF(F900="","",IF(AND(F900&gt;=4,G900&gt;=4,H900&gt;=4,I900&gt;=4),"Proficient",IF(AND(F900&lt;=2,G900&lt;=2,H900&lt;=2,I900&lt;=2),"Emerging","Progressing")))</f>
        <v/>
      </c>
      <c r="K900" s="6" t="str">
        <f aca="false">IF(F900="","",IF(J900="Proficient","Yes","No"))</f>
        <v/>
      </c>
      <c r="L900" s="6" t="str">
        <f aca="false">IF(F900="","",INDEX({"Listening","Speaking","Reading","Writing"},MATCH(MIN(F900:I900),F900:I900,0)))</f>
        <v/>
      </c>
      <c r="M900" s="17"/>
      <c r="N900" s="6" t="str">
        <f aca="false">IF(OR(F900="",M900=""),"",ROUND(AVERAGE(F900:I900)-M900,1))</f>
        <v/>
      </c>
      <c r="O900" s="17"/>
      <c r="P900" s="17"/>
      <c r="Q900" s="17"/>
    </row>
    <row r="901" customFormat="false" ht="15" hidden="false" customHeight="true" outlineLevel="0" collapsed="false">
      <c r="A901" s="17"/>
      <c r="B901" s="17"/>
      <c r="C901" s="17"/>
      <c r="D901" s="17"/>
      <c r="E901" s="17"/>
      <c r="F901" s="17"/>
      <c r="G901" s="17"/>
      <c r="H901" s="17"/>
      <c r="I901" s="17"/>
      <c r="J901" s="6" t="str">
        <f aca="false">IF(F901="","",IF(AND(F901&gt;=4,G901&gt;=4,H901&gt;=4,I901&gt;=4),"Proficient",IF(AND(F901&lt;=2,G901&lt;=2,H901&lt;=2,I901&lt;=2),"Emerging","Progressing")))</f>
        <v/>
      </c>
      <c r="K901" s="6" t="str">
        <f aca="false">IF(F901="","",IF(J901="Proficient","Yes","No"))</f>
        <v/>
      </c>
      <c r="L901" s="6" t="str">
        <f aca="false">IF(F901="","",INDEX({"Listening","Speaking","Reading","Writing"},MATCH(MIN(F901:I901),F901:I901,0)))</f>
        <v/>
      </c>
      <c r="M901" s="17"/>
      <c r="N901" s="6" t="str">
        <f aca="false">IF(OR(F901="",M901=""),"",ROUND(AVERAGE(F901:I901)-M901,1))</f>
        <v/>
      </c>
      <c r="O901" s="17"/>
      <c r="P901" s="17"/>
      <c r="Q901" s="17"/>
    </row>
    <row r="902" customFormat="false" ht="15" hidden="false" customHeight="true" outlineLevel="0" collapsed="false">
      <c r="A902" s="17"/>
      <c r="B902" s="17"/>
      <c r="C902" s="17"/>
      <c r="D902" s="17"/>
      <c r="E902" s="17"/>
      <c r="F902" s="17"/>
      <c r="G902" s="17"/>
      <c r="H902" s="17"/>
      <c r="I902" s="17"/>
      <c r="J902" s="6" t="str">
        <f aca="false">IF(F902="","",IF(AND(F902&gt;=4,G902&gt;=4,H902&gt;=4,I902&gt;=4),"Proficient",IF(AND(F902&lt;=2,G902&lt;=2,H902&lt;=2,I902&lt;=2),"Emerging","Progressing")))</f>
        <v/>
      </c>
      <c r="K902" s="6" t="str">
        <f aca="false">IF(F902="","",IF(J902="Proficient","Yes","No"))</f>
        <v/>
      </c>
      <c r="L902" s="6" t="str">
        <f aca="false">IF(F902="","",INDEX({"Listening","Speaking","Reading","Writing"},MATCH(MIN(F902:I902),F902:I902,0)))</f>
        <v/>
      </c>
      <c r="M902" s="17"/>
      <c r="N902" s="6" t="str">
        <f aca="false">IF(OR(F902="",M902=""),"",ROUND(AVERAGE(F902:I902)-M902,1))</f>
        <v/>
      </c>
      <c r="O902" s="17"/>
      <c r="P902" s="17"/>
      <c r="Q902" s="17"/>
    </row>
    <row r="903" customFormat="false" ht="15" hidden="false" customHeight="true" outlineLevel="0" collapsed="false">
      <c r="A903" s="17"/>
      <c r="B903" s="17"/>
      <c r="C903" s="17"/>
      <c r="D903" s="17"/>
      <c r="E903" s="17"/>
      <c r="F903" s="17"/>
      <c r="G903" s="17"/>
      <c r="H903" s="17"/>
      <c r="I903" s="17"/>
      <c r="J903" s="6" t="str">
        <f aca="false">IF(F903="","",IF(AND(F903&gt;=4,G903&gt;=4,H903&gt;=4,I903&gt;=4),"Proficient",IF(AND(F903&lt;=2,G903&lt;=2,H903&lt;=2,I903&lt;=2),"Emerging","Progressing")))</f>
        <v/>
      </c>
      <c r="K903" s="6" t="str">
        <f aca="false">IF(F903="","",IF(J903="Proficient","Yes","No"))</f>
        <v/>
      </c>
      <c r="L903" s="6" t="str">
        <f aca="false">IF(F903="","",INDEX({"Listening","Speaking","Reading","Writing"},MATCH(MIN(F903:I903),F903:I903,0)))</f>
        <v/>
      </c>
      <c r="M903" s="17"/>
      <c r="N903" s="6" t="str">
        <f aca="false">IF(OR(F903="",M903=""),"",ROUND(AVERAGE(F903:I903)-M903,1))</f>
        <v/>
      </c>
      <c r="O903" s="17"/>
      <c r="P903" s="17"/>
      <c r="Q903" s="17"/>
    </row>
    <row r="904" customFormat="false" ht="15" hidden="false" customHeight="true" outlineLevel="0" collapsed="false">
      <c r="A904" s="17"/>
      <c r="B904" s="17"/>
      <c r="C904" s="17"/>
      <c r="D904" s="17"/>
      <c r="E904" s="17"/>
      <c r="F904" s="17"/>
      <c r="G904" s="17"/>
      <c r="H904" s="17"/>
      <c r="I904" s="17"/>
      <c r="J904" s="6" t="str">
        <f aca="false">IF(F904="","",IF(AND(F904&gt;=4,G904&gt;=4,H904&gt;=4,I904&gt;=4),"Proficient",IF(AND(F904&lt;=2,G904&lt;=2,H904&lt;=2,I904&lt;=2),"Emerging","Progressing")))</f>
        <v/>
      </c>
      <c r="K904" s="6" t="str">
        <f aca="false">IF(F904="","",IF(J904="Proficient","Yes","No"))</f>
        <v/>
      </c>
      <c r="L904" s="6" t="str">
        <f aca="false">IF(F904="","",INDEX({"Listening","Speaking","Reading","Writing"},MATCH(MIN(F904:I904),F904:I904,0)))</f>
        <v/>
      </c>
      <c r="M904" s="17"/>
      <c r="N904" s="6" t="str">
        <f aca="false">IF(OR(F904="",M904=""),"",ROUND(AVERAGE(F904:I904)-M904,1))</f>
        <v/>
      </c>
      <c r="O904" s="17"/>
      <c r="P904" s="17"/>
      <c r="Q904" s="17"/>
    </row>
    <row r="905" customFormat="false" ht="15" hidden="false" customHeight="true" outlineLevel="0" collapsed="false">
      <c r="A905" s="17"/>
      <c r="B905" s="17"/>
      <c r="C905" s="17"/>
      <c r="D905" s="17"/>
      <c r="E905" s="17"/>
      <c r="F905" s="17"/>
      <c r="G905" s="17"/>
      <c r="H905" s="17"/>
      <c r="I905" s="17"/>
      <c r="J905" s="6" t="str">
        <f aca="false">IF(F905="","",IF(AND(F905&gt;=4,G905&gt;=4,H905&gt;=4,I905&gt;=4),"Proficient",IF(AND(F905&lt;=2,G905&lt;=2,H905&lt;=2,I905&lt;=2),"Emerging","Progressing")))</f>
        <v/>
      </c>
      <c r="K905" s="6" t="str">
        <f aca="false">IF(F905="","",IF(J905="Proficient","Yes","No"))</f>
        <v/>
      </c>
      <c r="L905" s="6" t="str">
        <f aca="false">IF(F905="","",INDEX({"Listening","Speaking","Reading","Writing"},MATCH(MIN(F905:I905),F905:I905,0)))</f>
        <v/>
      </c>
      <c r="M905" s="17"/>
      <c r="N905" s="6" t="str">
        <f aca="false">IF(OR(F905="",M905=""),"",ROUND(AVERAGE(F905:I905)-M905,1))</f>
        <v/>
      </c>
      <c r="O905" s="17"/>
      <c r="P905" s="17"/>
      <c r="Q905" s="17"/>
    </row>
    <row r="906" customFormat="false" ht="15" hidden="false" customHeight="true" outlineLevel="0" collapsed="false">
      <c r="A906" s="17"/>
      <c r="B906" s="17"/>
      <c r="C906" s="17"/>
      <c r="D906" s="17"/>
      <c r="E906" s="17"/>
      <c r="F906" s="17"/>
      <c r="G906" s="17"/>
      <c r="H906" s="17"/>
      <c r="I906" s="17"/>
      <c r="J906" s="6" t="str">
        <f aca="false">IF(F906="","",IF(AND(F906&gt;=4,G906&gt;=4,H906&gt;=4,I906&gt;=4),"Proficient",IF(AND(F906&lt;=2,G906&lt;=2,H906&lt;=2,I906&lt;=2),"Emerging","Progressing")))</f>
        <v/>
      </c>
      <c r="K906" s="6" t="str">
        <f aca="false">IF(F906="","",IF(J906="Proficient","Yes","No"))</f>
        <v/>
      </c>
      <c r="L906" s="6" t="str">
        <f aca="false">IF(F906="","",INDEX({"Listening","Speaking","Reading","Writing"},MATCH(MIN(F906:I906),F906:I906,0)))</f>
        <v/>
      </c>
      <c r="M906" s="17"/>
      <c r="N906" s="6" t="str">
        <f aca="false">IF(OR(F906="",M906=""),"",ROUND(AVERAGE(F906:I906)-M906,1))</f>
        <v/>
      </c>
      <c r="O906" s="17"/>
      <c r="P906" s="17"/>
      <c r="Q906" s="17"/>
    </row>
    <row r="907" customFormat="false" ht="15" hidden="false" customHeight="true" outlineLevel="0" collapsed="false">
      <c r="A907" s="17"/>
      <c r="B907" s="17"/>
      <c r="C907" s="17"/>
      <c r="D907" s="17"/>
      <c r="E907" s="17"/>
      <c r="F907" s="17"/>
      <c r="G907" s="17"/>
      <c r="H907" s="17"/>
      <c r="I907" s="17"/>
      <c r="J907" s="6" t="str">
        <f aca="false">IF(F907="","",IF(AND(F907&gt;=4,G907&gt;=4,H907&gt;=4,I907&gt;=4),"Proficient",IF(AND(F907&lt;=2,G907&lt;=2,H907&lt;=2,I907&lt;=2),"Emerging","Progressing")))</f>
        <v/>
      </c>
      <c r="K907" s="6" t="str">
        <f aca="false">IF(F907="","",IF(J907="Proficient","Yes","No"))</f>
        <v/>
      </c>
      <c r="L907" s="6" t="str">
        <f aca="false">IF(F907="","",INDEX({"Listening","Speaking","Reading","Writing"},MATCH(MIN(F907:I907),F907:I907,0)))</f>
        <v/>
      </c>
      <c r="M907" s="17"/>
      <c r="N907" s="6" t="str">
        <f aca="false">IF(OR(F907="",M907=""),"",ROUND(AVERAGE(F907:I907)-M907,1))</f>
        <v/>
      </c>
      <c r="O907" s="17"/>
      <c r="P907" s="17"/>
      <c r="Q907" s="17"/>
    </row>
    <row r="908" customFormat="false" ht="15" hidden="false" customHeight="true" outlineLevel="0" collapsed="false">
      <c r="A908" s="17"/>
      <c r="B908" s="17"/>
      <c r="C908" s="17"/>
      <c r="D908" s="17"/>
      <c r="E908" s="17"/>
      <c r="F908" s="17"/>
      <c r="G908" s="17"/>
      <c r="H908" s="17"/>
      <c r="I908" s="17"/>
      <c r="J908" s="6" t="str">
        <f aca="false">IF(F908="","",IF(AND(F908&gt;=4,G908&gt;=4,H908&gt;=4,I908&gt;=4),"Proficient",IF(AND(F908&lt;=2,G908&lt;=2,H908&lt;=2,I908&lt;=2),"Emerging","Progressing")))</f>
        <v/>
      </c>
      <c r="K908" s="6" t="str">
        <f aca="false">IF(F908="","",IF(J908="Proficient","Yes","No"))</f>
        <v/>
      </c>
      <c r="L908" s="6" t="str">
        <f aca="false">IF(F908="","",INDEX({"Listening","Speaking","Reading","Writing"},MATCH(MIN(F908:I908),F908:I908,0)))</f>
        <v/>
      </c>
      <c r="M908" s="17"/>
      <c r="N908" s="6" t="str">
        <f aca="false">IF(OR(F908="",M908=""),"",ROUND(AVERAGE(F908:I908)-M908,1))</f>
        <v/>
      </c>
      <c r="O908" s="17"/>
      <c r="P908" s="17"/>
      <c r="Q908" s="17"/>
    </row>
    <row r="909" customFormat="false" ht="15" hidden="false" customHeight="true" outlineLevel="0" collapsed="false">
      <c r="A909" s="17"/>
      <c r="B909" s="17"/>
      <c r="C909" s="17"/>
      <c r="D909" s="17"/>
      <c r="E909" s="17"/>
      <c r="F909" s="17"/>
      <c r="G909" s="17"/>
      <c r="H909" s="17"/>
      <c r="I909" s="17"/>
      <c r="J909" s="6" t="str">
        <f aca="false">IF(F909="","",IF(AND(F909&gt;=4,G909&gt;=4,H909&gt;=4,I909&gt;=4),"Proficient",IF(AND(F909&lt;=2,G909&lt;=2,H909&lt;=2,I909&lt;=2),"Emerging","Progressing")))</f>
        <v/>
      </c>
      <c r="K909" s="6" t="str">
        <f aca="false">IF(F909="","",IF(J909="Proficient","Yes","No"))</f>
        <v/>
      </c>
      <c r="L909" s="6" t="str">
        <f aca="false">IF(F909="","",INDEX({"Listening","Speaking","Reading","Writing"},MATCH(MIN(F909:I909),F909:I909,0)))</f>
        <v/>
      </c>
      <c r="M909" s="17"/>
      <c r="N909" s="6" t="str">
        <f aca="false">IF(OR(F909="",M909=""),"",ROUND(AVERAGE(F909:I909)-M909,1))</f>
        <v/>
      </c>
      <c r="O909" s="17"/>
      <c r="P909" s="17"/>
      <c r="Q909" s="17"/>
    </row>
    <row r="910" customFormat="false" ht="15" hidden="false" customHeight="true" outlineLevel="0" collapsed="false">
      <c r="A910" s="17"/>
      <c r="B910" s="17"/>
      <c r="C910" s="17"/>
      <c r="D910" s="17"/>
      <c r="E910" s="17"/>
      <c r="F910" s="17"/>
      <c r="G910" s="17"/>
      <c r="H910" s="17"/>
      <c r="I910" s="17"/>
      <c r="J910" s="6" t="str">
        <f aca="false">IF(F910="","",IF(AND(F910&gt;=4,G910&gt;=4,H910&gt;=4,I910&gt;=4),"Proficient",IF(AND(F910&lt;=2,G910&lt;=2,H910&lt;=2,I910&lt;=2),"Emerging","Progressing")))</f>
        <v/>
      </c>
      <c r="K910" s="6" t="str">
        <f aca="false">IF(F910="","",IF(J910="Proficient","Yes","No"))</f>
        <v/>
      </c>
      <c r="L910" s="6" t="str">
        <f aca="false">IF(F910="","",INDEX({"Listening","Speaking","Reading","Writing"},MATCH(MIN(F910:I910),F910:I910,0)))</f>
        <v/>
      </c>
      <c r="M910" s="17"/>
      <c r="N910" s="6" t="str">
        <f aca="false">IF(OR(F910="",M910=""),"",ROUND(AVERAGE(F910:I910)-M910,1))</f>
        <v/>
      </c>
      <c r="O910" s="17"/>
      <c r="P910" s="17"/>
      <c r="Q910" s="17"/>
    </row>
    <row r="911" customFormat="false" ht="15" hidden="false" customHeight="true" outlineLevel="0" collapsed="false">
      <c r="A911" s="17"/>
      <c r="B911" s="17"/>
      <c r="C911" s="17"/>
      <c r="D911" s="17"/>
      <c r="E911" s="17"/>
      <c r="F911" s="17"/>
      <c r="G911" s="17"/>
      <c r="H911" s="17"/>
      <c r="I911" s="17"/>
      <c r="J911" s="6" t="str">
        <f aca="false">IF(F911="","",IF(AND(F911&gt;=4,G911&gt;=4,H911&gt;=4,I911&gt;=4),"Proficient",IF(AND(F911&lt;=2,G911&lt;=2,H911&lt;=2,I911&lt;=2),"Emerging","Progressing")))</f>
        <v/>
      </c>
      <c r="K911" s="6" t="str">
        <f aca="false">IF(F911="","",IF(J911="Proficient","Yes","No"))</f>
        <v/>
      </c>
      <c r="L911" s="6" t="str">
        <f aca="false">IF(F911="","",INDEX({"Listening","Speaking","Reading","Writing"},MATCH(MIN(F911:I911),F911:I911,0)))</f>
        <v/>
      </c>
      <c r="M911" s="17"/>
      <c r="N911" s="6" t="str">
        <f aca="false">IF(OR(F911="",M911=""),"",ROUND(AVERAGE(F911:I911)-M911,1))</f>
        <v/>
      </c>
      <c r="O911" s="17"/>
      <c r="P911" s="17"/>
      <c r="Q911" s="17"/>
    </row>
    <row r="912" customFormat="false" ht="15" hidden="false" customHeight="true" outlineLevel="0" collapsed="false">
      <c r="A912" s="17"/>
      <c r="B912" s="17"/>
      <c r="C912" s="17"/>
      <c r="D912" s="17"/>
      <c r="E912" s="17"/>
      <c r="F912" s="17"/>
      <c r="G912" s="17"/>
      <c r="H912" s="17"/>
      <c r="I912" s="17"/>
      <c r="J912" s="6" t="str">
        <f aca="false">IF(F912="","",IF(AND(F912&gt;=4,G912&gt;=4,H912&gt;=4,I912&gt;=4),"Proficient",IF(AND(F912&lt;=2,G912&lt;=2,H912&lt;=2,I912&lt;=2),"Emerging","Progressing")))</f>
        <v/>
      </c>
      <c r="K912" s="6" t="str">
        <f aca="false">IF(F912="","",IF(J912="Proficient","Yes","No"))</f>
        <v/>
      </c>
      <c r="L912" s="6" t="str">
        <f aca="false">IF(F912="","",INDEX({"Listening","Speaking","Reading","Writing"},MATCH(MIN(F912:I912),F912:I912,0)))</f>
        <v/>
      </c>
      <c r="M912" s="17"/>
      <c r="N912" s="6" t="str">
        <f aca="false">IF(OR(F912="",M912=""),"",ROUND(AVERAGE(F912:I912)-M912,1))</f>
        <v/>
      </c>
      <c r="O912" s="17"/>
      <c r="P912" s="17"/>
      <c r="Q912" s="17"/>
    </row>
    <row r="913" customFormat="false" ht="15" hidden="false" customHeight="true" outlineLevel="0" collapsed="false">
      <c r="A913" s="17"/>
      <c r="B913" s="17"/>
      <c r="C913" s="17"/>
      <c r="D913" s="17"/>
      <c r="E913" s="17"/>
      <c r="F913" s="17"/>
      <c r="G913" s="17"/>
      <c r="H913" s="17"/>
      <c r="I913" s="17"/>
      <c r="J913" s="6" t="str">
        <f aca="false">IF(F913="","",IF(AND(F913&gt;=4,G913&gt;=4,H913&gt;=4,I913&gt;=4),"Proficient",IF(AND(F913&lt;=2,G913&lt;=2,H913&lt;=2,I913&lt;=2),"Emerging","Progressing")))</f>
        <v/>
      </c>
      <c r="K913" s="6" t="str">
        <f aca="false">IF(F913="","",IF(J913="Proficient","Yes","No"))</f>
        <v/>
      </c>
      <c r="L913" s="6" t="str">
        <f aca="false">IF(F913="","",INDEX({"Listening","Speaking","Reading","Writing"},MATCH(MIN(F913:I913),F913:I913,0)))</f>
        <v/>
      </c>
      <c r="M913" s="17"/>
      <c r="N913" s="6" t="str">
        <f aca="false">IF(OR(F913="",M913=""),"",ROUND(AVERAGE(F913:I913)-M913,1))</f>
        <v/>
      </c>
      <c r="O913" s="17"/>
      <c r="P913" s="17"/>
      <c r="Q913" s="17"/>
    </row>
    <row r="914" customFormat="false" ht="15" hidden="false" customHeight="true" outlineLevel="0" collapsed="false">
      <c r="A914" s="17"/>
      <c r="B914" s="17"/>
      <c r="C914" s="17"/>
      <c r="D914" s="17"/>
      <c r="E914" s="17"/>
      <c r="F914" s="17"/>
      <c r="G914" s="17"/>
      <c r="H914" s="17"/>
      <c r="I914" s="17"/>
      <c r="J914" s="6" t="str">
        <f aca="false">IF(F914="","",IF(AND(F914&gt;=4,G914&gt;=4,H914&gt;=4,I914&gt;=4),"Proficient",IF(AND(F914&lt;=2,G914&lt;=2,H914&lt;=2,I914&lt;=2),"Emerging","Progressing")))</f>
        <v/>
      </c>
      <c r="K914" s="6" t="str">
        <f aca="false">IF(F914="","",IF(J914="Proficient","Yes","No"))</f>
        <v/>
      </c>
      <c r="L914" s="6" t="str">
        <f aca="false">IF(F914="","",INDEX({"Listening","Speaking","Reading","Writing"},MATCH(MIN(F914:I914),F914:I914,0)))</f>
        <v/>
      </c>
      <c r="M914" s="17"/>
      <c r="N914" s="6" t="str">
        <f aca="false">IF(OR(F914="",M914=""),"",ROUND(AVERAGE(F914:I914)-M914,1))</f>
        <v/>
      </c>
      <c r="O914" s="17"/>
      <c r="P914" s="17"/>
      <c r="Q914" s="17"/>
    </row>
    <row r="915" customFormat="false" ht="15" hidden="false" customHeight="true" outlineLevel="0" collapsed="false">
      <c r="A915" s="17"/>
      <c r="B915" s="17"/>
      <c r="C915" s="17"/>
      <c r="D915" s="17"/>
      <c r="E915" s="17"/>
      <c r="F915" s="17"/>
      <c r="G915" s="17"/>
      <c r="H915" s="17"/>
      <c r="I915" s="17"/>
      <c r="J915" s="6" t="str">
        <f aca="false">IF(F915="","",IF(AND(F915&gt;=4,G915&gt;=4,H915&gt;=4,I915&gt;=4),"Proficient",IF(AND(F915&lt;=2,G915&lt;=2,H915&lt;=2,I915&lt;=2),"Emerging","Progressing")))</f>
        <v/>
      </c>
      <c r="K915" s="6" t="str">
        <f aca="false">IF(F915="","",IF(J915="Proficient","Yes","No"))</f>
        <v/>
      </c>
      <c r="L915" s="6" t="str">
        <f aca="false">IF(F915="","",INDEX({"Listening","Speaking","Reading","Writing"},MATCH(MIN(F915:I915),F915:I915,0)))</f>
        <v/>
      </c>
      <c r="M915" s="17"/>
      <c r="N915" s="6" t="str">
        <f aca="false">IF(OR(F915="",M915=""),"",ROUND(AVERAGE(F915:I915)-M915,1))</f>
        <v/>
      </c>
      <c r="O915" s="17"/>
      <c r="P915" s="17"/>
      <c r="Q915" s="17"/>
    </row>
    <row r="916" customFormat="false" ht="15" hidden="false" customHeight="true" outlineLevel="0" collapsed="false">
      <c r="A916" s="17"/>
      <c r="B916" s="17"/>
      <c r="C916" s="17"/>
      <c r="D916" s="17"/>
      <c r="E916" s="17"/>
      <c r="F916" s="17"/>
      <c r="G916" s="17"/>
      <c r="H916" s="17"/>
      <c r="I916" s="17"/>
      <c r="J916" s="6" t="str">
        <f aca="false">IF(F916="","",IF(AND(F916&gt;=4,G916&gt;=4,H916&gt;=4,I916&gt;=4),"Proficient",IF(AND(F916&lt;=2,G916&lt;=2,H916&lt;=2,I916&lt;=2),"Emerging","Progressing")))</f>
        <v/>
      </c>
      <c r="K916" s="6" t="str">
        <f aca="false">IF(F916="","",IF(J916="Proficient","Yes","No"))</f>
        <v/>
      </c>
      <c r="L916" s="6" t="str">
        <f aca="false">IF(F916="","",INDEX({"Listening","Speaking","Reading","Writing"},MATCH(MIN(F916:I916),F916:I916,0)))</f>
        <v/>
      </c>
      <c r="M916" s="17"/>
      <c r="N916" s="6" t="str">
        <f aca="false">IF(OR(F916="",M916=""),"",ROUND(AVERAGE(F916:I916)-M916,1))</f>
        <v/>
      </c>
      <c r="O916" s="17"/>
      <c r="P916" s="17"/>
      <c r="Q916" s="17"/>
    </row>
    <row r="917" customFormat="false" ht="15" hidden="false" customHeight="true" outlineLevel="0" collapsed="false">
      <c r="A917" s="17"/>
      <c r="B917" s="17"/>
      <c r="C917" s="17"/>
      <c r="D917" s="17"/>
      <c r="E917" s="17"/>
      <c r="F917" s="17"/>
      <c r="G917" s="17"/>
      <c r="H917" s="17"/>
      <c r="I917" s="17"/>
      <c r="J917" s="6" t="str">
        <f aca="false">IF(F917="","",IF(AND(F917&gt;=4,G917&gt;=4,H917&gt;=4,I917&gt;=4),"Proficient",IF(AND(F917&lt;=2,G917&lt;=2,H917&lt;=2,I917&lt;=2),"Emerging","Progressing")))</f>
        <v/>
      </c>
      <c r="K917" s="6" t="str">
        <f aca="false">IF(F917="","",IF(J917="Proficient","Yes","No"))</f>
        <v/>
      </c>
      <c r="L917" s="6" t="str">
        <f aca="false">IF(F917="","",INDEX({"Listening","Speaking","Reading","Writing"},MATCH(MIN(F917:I917),F917:I917,0)))</f>
        <v/>
      </c>
      <c r="M917" s="17"/>
      <c r="N917" s="6" t="str">
        <f aca="false">IF(OR(F917="",M917=""),"",ROUND(AVERAGE(F917:I917)-M917,1))</f>
        <v/>
      </c>
      <c r="O917" s="17"/>
      <c r="P917" s="17"/>
      <c r="Q917" s="17"/>
    </row>
    <row r="918" customFormat="false" ht="15" hidden="false" customHeight="true" outlineLevel="0" collapsed="false">
      <c r="A918" s="17"/>
      <c r="B918" s="17"/>
      <c r="C918" s="17"/>
      <c r="D918" s="17"/>
      <c r="E918" s="17"/>
      <c r="F918" s="17"/>
      <c r="G918" s="17"/>
      <c r="H918" s="17"/>
      <c r="I918" s="17"/>
      <c r="J918" s="6" t="str">
        <f aca="false">IF(F918="","",IF(AND(F918&gt;=4,G918&gt;=4,H918&gt;=4,I918&gt;=4),"Proficient",IF(AND(F918&lt;=2,G918&lt;=2,H918&lt;=2,I918&lt;=2),"Emerging","Progressing")))</f>
        <v/>
      </c>
      <c r="K918" s="6" t="str">
        <f aca="false">IF(F918="","",IF(J918="Proficient","Yes","No"))</f>
        <v/>
      </c>
      <c r="L918" s="6" t="str">
        <f aca="false">IF(F918="","",INDEX({"Listening","Speaking","Reading","Writing"},MATCH(MIN(F918:I918),F918:I918,0)))</f>
        <v/>
      </c>
      <c r="M918" s="17"/>
      <c r="N918" s="6" t="str">
        <f aca="false">IF(OR(F918="",M918=""),"",ROUND(AVERAGE(F918:I918)-M918,1))</f>
        <v/>
      </c>
      <c r="O918" s="17"/>
      <c r="P918" s="17"/>
      <c r="Q918" s="17"/>
    </row>
    <row r="919" customFormat="false" ht="15" hidden="false" customHeight="true" outlineLevel="0" collapsed="false">
      <c r="A919" s="17"/>
      <c r="B919" s="17"/>
      <c r="C919" s="17"/>
      <c r="D919" s="17"/>
      <c r="E919" s="17"/>
      <c r="F919" s="17"/>
      <c r="G919" s="17"/>
      <c r="H919" s="17"/>
      <c r="I919" s="17"/>
      <c r="J919" s="6" t="str">
        <f aca="false">IF(F919="","",IF(AND(F919&gt;=4,G919&gt;=4,H919&gt;=4,I919&gt;=4),"Proficient",IF(AND(F919&lt;=2,G919&lt;=2,H919&lt;=2,I919&lt;=2),"Emerging","Progressing")))</f>
        <v/>
      </c>
      <c r="K919" s="6" t="str">
        <f aca="false">IF(F919="","",IF(J919="Proficient","Yes","No"))</f>
        <v/>
      </c>
      <c r="L919" s="6" t="str">
        <f aca="false">IF(F919="","",INDEX({"Listening","Speaking","Reading","Writing"},MATCH(MIN(F919:I919),F919:I919,0)))</f>
        <v/>
      </c>
      <c r="M919" s="17"/>
      <c r="N919" s="6" t="str">
        <f aca="false">IF(OR(F919="",M919=""),"",ROUND(AVERAGE(F919:I919)-M919,1))</f>
        <v/>
      </c>
      <c r="O919" s="17"/>
      <c r="P919" s="17"/>
      <c r="Q919" s="17"/>
    </row>
    <row r="920" customFormat="false" ht="15" hidden="false" customHeight="true" outlineLevel="0" collapsed="false">
      <c r="A920" s="17"/>
      <c r="B920" s="17"/>
      <c r="C920" s="17"/>
      <c r="D920" s="17"/>
      <c r="E920" s="17"/>
      <c r="F920" s="17"/>
      <c r="G920" s="17"/>
      <c r="H920" s="17"/>
      <c r="I920" s="17"/>
      <c r="J920" s="6" t="str">
        <f aca="false">IF(F920="","",IF(AND(F920&gt;=4,G920&gt;=4,H920&gt;=4,I920&gt;=4),"Proficient",IF(AND(F920&lt;=2,G920&lt;=2,H920&lt;=2,I920&lt;=2),"Emerging","Progressing")))</f>
        <v/>
      </c>
      <c r="K920" s="6" t="str">
        <f aca="false">IF(F920="","",IF(J920="Proficient","Yes","No"))</f>
        <v/>
      </c>
      <c r="L920" s="6" t="str">
        <f aca="false">IF(F920="","",INDEX({"Listening","Speaking","Reading","Writing"},MATCH(MIN(F920:I920),F920:I920,0)))</f>
        <v/>
      </c>
      <c r="M920" s="17"/>
      <c r="N920" s="6" t="str">
        <f aca="false">IF(OR(F920="",M920=""),"",ROUND(AVERAGE(F920:I920)-M920,1))</f>
        <v/>
      </c>
      <c r="O920" s="17"/>
      <c r="P920" s="17"/>
      <c r="Q920" s="17"/>
    </row>
    <row r="921" customFormat="false" ht="15" hidden="false" customHeight="true" outlineLevel="0" collapsed="false">
      <c r="A921" s="17"/>
      <c r="B921" s="17"/>
      <c r="C921" s="17"/>
      <c r="D921" s="17"/>
      <c r="E921" s="17"/>
      <c r="F921" s="17"/>
      <c r="G921" s="17"/>
      <c r="H921" s="17"/>
      <c r="I921" s="17"/>
      <c r="J921" s="6" t="str">
        <f aca="false">IF(F921="","",IF(AND(F921&gt;=4,G921&gt;=4,H921&gt;=4,I921&gt;=4),"Proficient",IF(AND(F921&lt;=2,G921&lt;=2,H921&lt;=2,I921&lt;=2),"Emerging","Progressing")))</f>
        <v/>
      </c>
      <c r="K921" s="6" t="str">
        <f aca="false">IF(F921="","",IF(J921="Proficient","Yes","No"))</f>
        <v/>
      </c>
      <c r="L921" s="6" t="str">
        <f aca="false">IF(F921="","",INDEX({"Listening","Speaking","Reading","Writing"},MATCH(MIN(F921:I921),F921:I921,0)))</f>
        <v/>
      </c>
      <c r="M921" s="17"/>
      <c r="N921" s="6" t="str">
        <f aca="false">IF(OR(F921="",M921=""),"",ROUND(AVERAGE(F921:I921)-M921,1))</f>
        <v/>
      </c>
      <c r="O921" s="17"/>
      <c r="P921" s="17"/>
      <c r="Q921" s="17"/>
    </row>
    <row r="922" customFormat="false" ht="15" hidden="false" customHeight="true" outlineLevel="0" collapsed="false">
      <c r="A922" s="17"/>
      <c r="B922" s="17"/>
      <c r="C922" s="17"/>
      <c r="D922" s="17"/>
      <c r="E922" s="17"/>
      <c r="F922" s="17"/>
      <c r="G922" s="17"/>
      <c r="H922" s="17"/>
      <c r="I922" s="17"/>
      <c r="J922" s="6" t="str">
        <f aca="false">IF(F922="","",IF(AND(F922&gt;=4,G922&gt;=4,H922&gt;=4,I922&gt;=4),"Proficient",IF(AND(F922&lt;=2,G922&lt;=2,H922&lt;=2,I922&lt;=2),"Emerging","Progressing")))</f>
        <v/>
      </c>
      <c r="K922" s="6" t="str">
        <f aca="false">IF(F922="","",IF(J922="Proficient","Yes","No"))</f>
        <v/>
      </c>
      <c r="L922" s="6" t="str">
        <f aca="false">IF(F922="","",INDEX({"Listening","Speaking","Reading","Writing"},MATCH(MIN(F922:I922),F922:I922,0)))</f>
        <v/>
      </c>
      <c r="M922" s="17"/>
      <c r="N922" s="6" t="str">
        <f aca="false">IF(OR(F922="",M922=""),"",ROUND(AVERAGE(F922:I922)-M922,1))</f>
        <v/>
      </c>
      <c r="O922" s="17"/>
      <c r="P922" s="17"/>
      <c r="Q922" s="17"/>
    </row>
    <row r="923" customFormat="false" ht="15" hidden="false" customHeight="true" outlineLevel="0" collapsed="false">
      <c r="A923" s="17"/>
      <c r="B923" s="17"/>
      <c r="C923" s="17"/>
      <c r="D923" s="17"/>
      <c r="E923" s="17"/>
      <c r="F923" s="17"/>
      <c r="G923" s="17"/>
      <c r="H923" s="17"/>
      <c r="I923" s="17"/>
      <c r="J923" s="6" t="str">
        <f aca="false">IF(F923="","",IF(AND(F923&gt;=4,G923&gt;=4,H923&gt;=4,I923&gt;=4),"Proficient",IF(AND(F923&lt;=2,G923&lt;=2,H923&lt;=2,I923&lt;=2),"Emerging","Progressing")))</f>
        <v/>
      </c>
      <c r="K923" s="6" t="str">
        <f aca="false">IF(F923="","",IF(J923="Proficient","Yes","No"))</f>
        <v/>
      </c>
      <c r="L923" s="6" t="str">
        <f aca="false">IF(F923="","",INDEX({"Listening","Speaking","Reading","Writing"},MATCH(MIN(F923:I923),F923:I923,0)))</f>
        <v/>
      </c>
      <c r="M923" s="17"/>
      <c r="N923" s="6" t="str">
        <f aca="false">IF(OR(F923="",M923=""),"",ROUND(AVERAGE(F923:I923)-M923,1))</f>
        <v/>
      </c>
      <c r="O923" s="17"/>
      <c r="P923" s="17"/>
      <c r="Q923" s="17"/>
    </row>
    <row r="924" customFormat="false" ht="15" hidden="false" customHeight="true" outlineLevel="0" collapsed="false">
      <c r="A924" s="17"/>
      <c r="B924" s="17"/>
      <c r="C924" s="17"/>
      <c r="D924" s="17"/>
      <c r="E924" s="17"/>
      <c r="F924" s="17"/>
      <c r="G924" s="17"/>
      <c r="H924" s="17"/>
      <c r="I924" s="17"/>
      <c r="J924" s="6" t="str">
        <f aca="false">IF(F924="","",IF(AND(F924&gt;=4,G924&gt;=4,H924&gt;=4,I924&gt;=4),"Proficient",IF(AND(F924&lt;=2,G924&lt;=2,H924&lt;=2,I924&lt;=2),"Emerging","Progressing")))</f>
        <v/>
      </c>
      <c r="K924" s="6" t="str">
        <f aca="false">IF(F924="","",IF(J924="Proficient","Yes","No"))</f>
        <v/>
      </c>
      <c r="L924" s="6" t="str">
        <f aca="false">IF(F924="","",INDEX({"Listening","Speaking","Reading","Writing"},MATCH(MIN(F924:I924),F924:I924,0)))</f>
        <v/>
      </c>
      <c r="M924" s="17"/>
      <c r="N924" s="6" t="str">
        <f aca="false">IF(OR(F924="",M924=""),"",ROUND(AVERAGE(F924:I924)-M924,1))</f>
        <v/>
      </c>
      <c r="O924" s="17"/>
      <c r="P924" s="17"/>
      <c r="Q924" s="17"/>
    </row>
    <row r="925" customFormat="false" ht="15" hidden="false" customHeight="true" outlineLevel="0" collapsed="false">
      <c r="A925" s="17"/>
      <c r="B925" s="17"/>
      <c r="C925" s="17"/>
      <c r="D925" s="17"/>
      <c r="E925" s="17"/>
      <c r="F925" s="17"/>
      <c r="G925" s="17"/>
      <c r="H925" s="17"/>
      <c r="I925" s="17"/>
      <c r="J925" s="6" t="str">
        <f aca="false">IF(F925="","",IF(AND(F925&gt;=4,G925&gt;=4,H925&gt;=4,I925&gt;=4),"Proficient",IF(AND(F925&lt;=2,G925&lt;=2,H925&lt;=2,I925&lt;=2),"Emerging","Progressing")))</f>
        <v/>
      </c>
      <c r="K925" s="6" t="str">
        <f aca="false">IF(F925="","",IF(J925="Proficient","Yes","No"))</f>
        <v/>
      </c>
      <c r="L925" s="6" t="str">
        <f aca="false">IF(F925="","",INDEX({"Listening","Speaking","Reading","Writing"},MATCH(MIN(F925:I925),F925:I925,0)))</f>
        <v/>
      </c>
      <c r="M925" s="17"/>
      <c r="N925" s="6" t="str">
        <f aca="false">IF(OR(F925="",M925=""),"",ROUND(AVERAGE(F925:I925)-M925,1))</f>
        <v/>
      </c>
      <c r="O925" s="17"/>
      <c r="P925" s="17"/>
      <c r="Q925" s="17"/>
    </row>
    <row r="926" customFormat="false" ht="15" hidden="false" customHeight="true" outlineLevel="0" collapsed="false">
      <c r="A926" s="17"/>
      <c r="B926" s="17"/>
      <c r="C926" s="17"/>
      <c r="D926" s="17"/>
      <c r="E926" s="17"/>
      <c r="F926" s="17"/>
      <c r="G926" s="17"/>
      <c r="H926" s="17"/>
      <c r="I926" s="17"/>
      <c r="J926" s="6" t="str">
        <f aca="false">IF(F926="","",IF(AND(F926&gt;=4,G926&gt;=4,H926&gt;=4,I926&gt;=4),"Proficient",IF(AND(F926&lt;=2,G926&lt;=2,H926&lt;=2,I926&lt;=2),"Emerging","Progressing")))</f>
        <v/>
      </c>
      <c r="K926" s="6" t="str">
        <f aca="false">IF(F926="","",IF(J926="Proficient","Yes","No"))</f>
        <v/>
      </c>
      <c r="L926" s="6" t="str">
        <f aca="false">IF(F926="","",INDEX({"Listening","Speaking","Reading","Writing"},MATCH(MIN(F926:I926),F926:I926,0)))</f>
        <v/>
      </c>
      <c r="M926" s="17"/>
      <c r="N926" s="6" t="str">
        <f aca="false">IF(OR(F926="",M926=""),"",ROUND(AVERAGE(F926:I926)-M926,1))</f>
        <v/>
      </c>
      <c r="O926" s="17"/>
      <c r="P926" s="17"/>
      <c r="Q926" s="17"/>
    </row>
    <row r="927" customFormat="false" ht="15" hidden="false" customHeight="true" outlineLevel="0" collapsed="false">
      <c r="A927" s="17"/>
      <c r="B927" s="17"/>
      <c r="C927" s="17"/>
      <c r="D927" s="17"/>
      <c r="E927" s="17"/>
      <c r="F927" s="17"/>
      <c r="G927" s="17"/>
      <c r="H927" s="17"/>
      <c r="I927" s="17"/>
      <c r="J927" s="6" t="str">
        <f aca="false">IF(F927="","",IF(AND(F927&gt;=4,G927&gt;=4,H927&gt;=4,I927&gt;=4),"Proficient",IF(AND(F927&lt;=2,G927&lt;=2,H927&lt;=2,I927&lt;=2),"Emerging","Progressing")))</f>
        <v/>
      </c>
      <c r="K927" s="6" t="str">
        <f aca="false">IF(F927="","",IF(J927="Proficient","Yes","No"))</f>
        <v/>
      </c>
      <c r="L927" s="6" t="str">
        <f aca="false">IF(F927="","",INDEX({"Listening","Speaking","Reading","Writing"},MATCH(MIN(F927:I927),F927:I927,0)))</f>
        <v/>
      </c>
      <c r="M927" s="17"/>
      <c r="N927" s="6" t="str">
        <f aca="false">IF(OR(F927="",M927=""),"",ROUND(AVERAGE(F927:I927)-M927,1))</f>
        <v/>
      </c>
      <c r="O927" s="17"/>
      <c r="P927" s="17"/>
      <c r="Q927" s="17"/>
    </row>
    <row r="928" customFormat="false" ht="15" hidden="false" customHeight="true" outlineLevel="0" collapsed="false">
      <c r="A928" s="17"/>
      <c r="B928" s="17"/>
      <c r="C928" s="17"/>
      <c r="D928" s="17"/>
      <c r="E928" s="17"/>
      <c r="F928" s="17"/>
      <c r="G928" s="17"/>
      <c r="H928" s="17"/>
      <c r="I928" s="17"/>
      <c r="J928" s="6" t="str">
        <f aca="false">IF(F928="","",IF(AND(F928&gt;=4,G928&gt;=4,H928&gt;=4,I928&gt;=4),"Proficient",IF(AND(F928&lt;=2,G928&lt;=2,H928&lt;=2,I928&lt;=2),"Emerging","Progressing")))</f>
        <v/>
      </c>
      <c r="K928" s="6" t="str">
        <f aca="false">IF(F928="","",IF(J928="Proficient","Yes","No"))</f>
        <v/>
      </c>
      <c r="L928" s="6" t="str">
        <f aca="false">IF(F928="","",INDEX({"Listening","Speaking","Reading","Writing"},MATCH(MIN(F928:I928),F928:I928,0)))</f>
        <v/>
      </c>
      <c r="M928" s="17"/>
      <c r="N928" s="6" t="str">
        <f aca="false">IF(OR(F928="",M928=""),"",ROUND(AVERAGE(F928:I928)-M928,1))</f>
        <v/>
      </c>
      <c r="O928" s="17"/>
      <c r="P928" s="17"/>
      <c r="Q928" s="17"/>
    </row>
    <row r="929" customFormat="false" ht="15" hidden="false" customHeight="true" outlineLevel="0" collapsed="false">
      <c r="A929" s="17"/>
      <c r="B929" s="17"/>
      <c r="C929" s="17"/>
      <c r="D929" s="17"/>
      <c r="E929" s="17"/>
      <c r="F929" s="17"/>
      <c r="G929" s="17"/>
      <c r="H929" s="17"/>
      <c r="I929" s="17"/>
      <c r="J929" s="6" t="str">
        <f aca="false">IF(F929="","",IF(AND(F929&gt;=4,G929&gt;=4,H929&gt;=4,I929&gt;=4),"Proficient",IF(AND(F929&lt;=2,G929&lt;=2,H929&lt;=2,I929&lt;=2),"Emerging","Progressing")))</f>
        <v/>
      </c>
      <c r="K929" s="6" t="str">
        <f aca="false">IF(F929="","",IF(J929="Proficient","Yes","No"))</f>
        <v/>
      </c>
      <c r="L929" s="6" t="str">
        <f aca="false">IF(F929="","",INDEX({"Listening","Speaking","Reading","Writing"},MATCH(MIN(F929:I929),F929:I929,0)))</f>
        <v/>
      </c>
      <c r="M929" s="17"/>
      <c r="N929" s="6" t="str">
        <f aca="false">IF(OR(F929="",M929=""),"",ROUND(AVERAGE(F929:I929)-M929,1))</f>
        <v/>
      </c>
      <c r="O929" s="17"/>
      <c r="P929" s="17"/>
      <c r="Q929" s="17"/>
    </row>
    <row r="930" customFormat="false" ht="15" hidden="false" customHeight="true" outlineLevel="0" collapsed="false">
      <c r="A930" s="17"/>
      <c r="B930" s="17"/>
      <c r="C930" s="17"/>
      <c r="D930" s="17"/>
      <c r="E930" s="17"/>
      <c r="F930" s="17"/>
      <c r="G930" s="17"/>
      <c r="H930" s="17"/>
      <c r="I930" s="17"/>
      <c r="J930" s="6" t="str">
        <f aca="false">IF(F930="","",IF(AND(F930&gt;=4,G930&gt;=4,H930&gt;=4,I930&gt;=4),"Proficient",IF(AND(F930&lt;=2,G930&lt;=2,H930&lt;=2,I930&lt;=2),"Emerging","Progressing")))</f>
        <v/>
      </c>
      <c r="K930" s="6" t="str">
        <f aca="false">IF(F930="","",IF(J930="Proficient","Yes","No"))</f>
        <v/>
      </c>
      <c r="L930" s="6" t="str">
        <f aca="false">IF(F930="","",INDEX({"Listening","Speaking","Reading","Writing"},MATCH(MIN(F930:I930),F930:I930,0)))</f>
        <v/>
      </c>
      <c r="M930" s="17"/>
      <c r="N930" s="6" t="str">
        <f aca="false">IF(OR(F930="",M930=""),"",ROUND(AVERAGE(F930:I930)-M930,1))</f>
        <v/>
      </c>
      <c r="O930" s="17"/>
      <c r="P930" s="17"/>
      <c r="Q930" s="17"/>
    </row>
    <row r="931" customFormat="false" ht="15" hidden="false" customHeight="true" outlineLevel="0" collapsed="false">
      <c r="A931" s="17"/>
      <c r="B931" s="17"/>
      <c r="C931" s="17"/>
      <c r="D931" s="17"/>
      <c r="E931" s="17"/>
      <c r="F931" s="17"/>
      <c r="G931" s="17"/>
      <c r="H931" s="17"/>
      <c r="I931" s="17"/>
      <c r="J931" s="6" t="str">
        <f aca="false">IF(F931="","",IF(AND(F931&gt;=4,G931&gt;=4,H931&gt;=4,I931&gt;=4),"Proficient",IF(AND(F931&lt;=2,G931&lt;=2,H931&lt;=2,I931&lt;=2),"Emerging","Progressing")))</f>
        <v/>
      </c>
      <c r="K931" s="6" t="str">
        <f aca="false">IF(F931="","",IF(J931="Proficient","Yes","No"))</f>
        <v/>
      </c>
      <c r="L931" s="6" t="str">
        <f aca="false">IF(F931="","",INDEX({"Listening","Speaking","Reading","Writing"},MATCH(MIN(F931:I931),F931:I931,0)))</f>
        <v/>
      </c>
      <c r="M931" s="17"/>
      <c r="N931" s="6" t="str">
        <f aca="false">IF(OR(F931="",M931=""),"",ROUND(AVERAGE(F931:I931)-M931,1))</f>
        <v/>
      </c>
      <c r="O931" s="17"/>
      <c r="P931" s="17"/>
      <c r="Q931" s="17"/>
    </row>
    <row r="932" customFormat="false" ht="15" hidden="false" customHeight="true" outlineLevel="0" collapsed="false">
      <c r="A932" s="17"/>
      <c r="B932" s="17"/>
      <c r="C932" s="17"/>
      <c r="D932" s="17"/>
      <c r="E932" s="17"/>
      <c r="F932" s="17"/>
      <c r="G932" s="17"/>
      <c r="H932" s="17"/>
      <c r="I932" s="17"/>
      <c r="J932" s="6" t="str">
        <f aca="false">IF(F932="","",IF(AND(F932&gt;=4,G932&gt;=4,H932&gt;=4,I932&gt;=4),"Proficient",IF(AND(F932&lt;=2,G932&lt;=2,H932&lt;=2,I932&lt;=2),"Emerging","Progressing")))</f>
        <v/>
      </c>
      <c r="K932" s="6" t="str">
        <f aca="false">IF(F932="","",IF(J932="Proficient","Yes","No"))</f>
        <v/>
      </c>
      <c r="L932" s="6" t="str">
        <f aca="false">IF(F932="","",INDEX({"Listening","Speaking","Reading","Writing"},MATCH(MIN(F932:I932),F932:I932,0)))</f>
        <v/>
      </c>
      <c r="M932" s="17"/>
      <c r="N932" s="6" t="str">
        <f aca="false">IF(OR(F932="",M932=""),"",ROUND(AVERAGE(F932:I932)-M932,1))</f>
        <v/>
      </c>
      <c r="O932" s="17"/>
      <c r="P932" s="17"/>
      <c r="Q932" s="17"/>
    </row>
    <row r="933" customFormat="false" ht="15" hidden="false" customHeight="true" outlineLevel="0" collapsed="false">
      <c r="A933" s="17"/>
      <c r="B933" s="17"/>
      <c r="C933" s="17"/>
      <c r="D933" s="17"/>
      <c r="E933" s="17"/>
      <c r="F933" s="17"/>
      <c r="G933" s="17"/>
      <c r="H933" s="17"/>
      <c r="I933" s="17"/>
      <c r="J933" s="6" t="str">
        <f aca="false">IF(F933="","",IF(AND(F933&gt;=4,G933&gt;=4,H933&gt;=4,I933&gt;=4),"Proficient",IF(AND(F933&lt;=2,G933&lt;=2,H933&lt;=2,I933&lt;=2),"Emerging","Progressing")))</f>
        <v/>
      </c>
      <c r="K933" s="6" t="str">
        <f aca="false">IF(F933="","",IF(J933="Proficient","Yes","No"))</f>
        <v/>
      </c>
      <c r="L933" s="6" t="str">
        <f aca="false">IF(F933="","",INDEX({"Listening","Speaking","Reading","Writing"},MATCH(MIN(F933:I933),F933:I933,0)))</f>
        <v/>
      </c>
      <c r="M933" s="17"/>
      <c r="N933" s="6" t="str">
        <f aca="false">IF(OR(F933="",M933=""),"",ROUND(AVERAGE(F933:I933)-M933,1))</f>
        <v/>
      </c>
      <c r="O933" s="17"/>
      <c r="P933" s="17"/>
      <c r="Q933" s="17"/>
    </row>
    <row r="934" customFormat="false" ht="15" hidden="false" customHeight="true" outlineLevel="0" collapsed="false">
      <c r="A934" s="17"/>
      <c r="B934" s="17"/>
      <c r="C934" s="17"/>
      <c r="D934" s="17"/>
      <c r="E934" s="17"/>
      <c r="F934" s="17"/>
      <c r="G934" s="17"/>
      <c r="H934" s="17"/>
      <c r="I934" s="17"/>
      <c r="J934" s="6" t="str">
        <f aca="false">IF(F934="","",IF(AND(F934&gt;=4,G934&gt;=4,H934&gt;=4,I934&gt;=4),"Proficient",IF(AND(F934&lt;=2,G934&lt;=2,H934&lt;=2,I934&lt;=2),"Emerging","Progressing")))</f>
        <v/>
      </c>
      <c r="K934" s="6" t="str">
        <f aca="false">IF(F934="","",IF(J934="Proficient","Yes","No"))</f>
        <v/>
      </c>
      <c r="L934" s="6" t="str">
        <f aca="false">IF(F934="","",INDEX({"Listening","Speaking","Reading","Writing"},MATCH(MIN(F934:I934),F934:I934,0)))</f>
        <v/>
      </c>
      <c r="M934" s="17"/>
      <c r="N934" s="6" t="str">
        <f aca="false">IF(OR(F934="",M934=""),"",ROUND(AVERAGE(F934:I934)-M934,1))</f>
        <v/>
      </c>
      <c r="O934" s="17"/>
      <c r="P934" s="17"/>
      <c r="Q934" s="17"/>
    </row>
    <row r="935" customFormat="false" ht="15" hidden="false" customHeight="true" outlineLevel="0" collapsed="false">
      <c r="A935" s="17"/>
      <c r="B935" s="17"/>
      <c r="C935" s="17"/>
      <c r="D935" s="17"/>
      <c r="E935" s="17"/>
      <c r="F935" s="17"/>
      <c r="G935" s="17"/>
      <c r="H935" s="17"/>
      <c r="I935" s="17"/>
      <c r="J935" s="6" t="str">
        <f aca="false">IF(F935="","",IF(AND(F935&gt;=4,G935&gt;=4,H935&gt;=4,I935&gt;=4),"Proficient",IF(AND(F935&lt;=2,G935&lt;=2,H935&lt;=2,I935&lt;=2),"Emerging","Progressing")))</f>
        <v/>
      </c>
      <c r="K935" s="6" t="str">
        <f aca="false">IF(F935="","",IF(J935="Proficient","Yes","No"))</f>
        <v/>
      </c>
      <c r="L935" s="6" t="str">
        <f aca="false">IF(F935="","",INDEX({"Listening","Speaking","Reading","Writing"},MATCH(MIN(F935:I935),F935:I935,0)))</f>
        <v/>
      </c>
      <c r="M935" s="17"/>
      <c r="N935" s="6" t="str">
        <f aca="false">IF(OR(F935="",M935=""),"",ROUND(AVERAGE(F935:I935)-M935,1))</f>
        <v/>
      </c>
      <c r="O935" s="17"/>
      <c r="P935" s="17"/>
      <c r="Q935" s="17"/>
    </row>
    <row r="936" customFormat="false" ht="15" hidden="false" customHeight="true" outlineLevel="0" collapsed="false">
      <c r="A936" s="17"/>
      <c r="B936" s="17"/>
      <c r="C936" s="17"/>
      <c r="D936" s="17"/>
      <c r="E936" s="17"/>
      <c r="F936" s="17"/>
      <c r="G936" s="17"/>
      <c r="H936" s="17"/>
      <c r="I936" s="17"/>
      <c r="J936" s="6" t="str">
        <f aca="false">IF(F936="","",IF(AND(F936&gt;=4,G936&gt;=4,H936&gt;=4,I936&gt;=4),"Proficient",IF(AND(F936&lt;=2,G936&lt;=2,H936&lt;=2,I936&lt;=2),"Emerging","Progressing")))</f>
        <v/>
      </c>
      <c r="K936" s="6" t="str">
        <f aca="false">IF(F936="","",IF(J936="Proficient","Yes","No"))</f>
        <v/>
      </c>
      <c r="L936" s="6" t="str">
        <f aca="false">IF(F936="","",INDEX({"Listening","Speaking","Reading","Writing"},MATCH(MIN(F936:I936),F936:I936,0)))</f>
        <v/>
      </c>
      <c r="M936" s="17"/>
      <c r="N936" s="6" t="str">
        <f aca="false">IF(OR(F936="",M936=""),"",ROUND(AVERAGE(F936:I936)-M936,1))</f>
        <v/>
      </c>
      <c r="O936" s="17"/>
      <c r="P936" s="17"/>
      <c r="Q936" s="17"/>
    </row>
    <row r="937" customFormat="false" ht="15" hidden="false" customHeight="true" outlineLevel="0" collapsed="false">
      <c r="A937" s="17"/>
      <c r="B937" s="17"/>
      <c r="C937" s="17"/>
      <c r="D937" s="17"/>
      <c r="E937" s="17"/>
      <c r="F937" s="17"/>
      <c r="G937" s="17"/>
      <c r="H937" s="17"/>
      <c r="I937" s="17"/>
      <c r="J937" s="6" t="str">
        <f aca="false">IF(F937="","",IF(AND(F937&gt;=4,G937&gt;=4,H937&gt;=4,I937&gt;=4),"Proficient",IF(AND(F937&lt;=2,G937&lt;=2,H937&lt;=2,I937&lt;=2),"Emerging","Progressing")))</f>
        <v/>
      </c>
      <c r="K937" s="6" t="str">
        <f aca="false">IF(F937="","",IF(J937="Proficient","Yes","No"))</f>
        <v/>
      </c>
      <c r="L937" s="6" t="str">
        <f aca="false">IF(F937="","",INDEX({"Listening","Speaking","Reading","Writing"},MATCH(MIN(F937:I937),F937:I937,0)))</f>
        <v/>
      </c>
      <c r="M937" s="17"/>
      <c r="N937" s="6" t="str">
        <f aca="false">IF(OR(F937="",M937=""),"",ROUND(AVERAGE(F937:I937)-M937,1))</f>
        <v/>
      </c>
      <c r="O937" s="17"/>
      <c r="P937" s="17"/>
      <c r="Q937" s="17"/>
    </row>
    <row r="938" customFormat="false" ht="15" hidden="false" customHeight="true" outlineLevel="0" collapsed="false">
      <c r="A938" s="17"/>
      <c r="B938" s="17"/>
      <c r="C938" s="17"/>
      <c r="D938" s="17"/>
      <c r="E938" s="17"/>
      <c r="F938" s="17"/>
      <c r="G938" s="17"/>
      <c r="H938" s="17"/>
      <c r="I938" s="17"/>
      <c r="J938" s="6" t="str">
        <f aca="false">IF(F938="","",IF(AND(F938&gt;=4,G938&gt;=4,H938&gt;=4,I938&gt;=4),"Proficient",IF(AND(F938&lt;=2,G938&lt;=2,H938&lt;=2,I938&lt;=2),"Emerging","Progressing")))</f>
        <v/>
      </c>
      <c r="K938" s="6" t="str">
        <f aca="false">IF(F938="","",IF(J938="Proficient","Yes","No"))</f>
        <v/>
      </c>
      <c r="L938" s="6" t="str">
        <f aca="false">IF(F938="","",INDEX({"Listening","Speaking","Reading","Writing"},MATCH(MIN(F938:I938),F938:I938,0)))</f>
        <v/>
      </c>
      <c r="M938" s="17"/>
      <c r="N938" s="6" t="str">
        <f aca="false">IF(OR(F938="",M938=""),"",ROUND(AVERAGE(F938:I938)-M938,1))</f>
        <v/>
      </c>
      <c r="O938" s="17"/>
      <c r="P938" s="17"/>
      <c r="Q938" s="17"/>
    </row>
    <row r="939" customFormat="false" ht="15" hidden="false" customHeight="true" outlineLevel="0" collapsed="false">
      <c r="A939" s="17"/>
      <c r="B939" s="17"/>
      <c r="C939" s="17"/>
      <c r="D939" s="17"/>
      <c r="E939" s="17"/>
      <c r="F939" s="17"/>
      <c r="G939" s="17"/>
      <c r="H939" s="17"/>
      <c r="I939" s="17"/>
      <c r="J939" s="6" t="str">
        <f aca="false">IF(F939="","",IF(AND(F939&gt;=4,G939&gt;=4,H939&gt;=4,I939&gt;=4),"Proficient",IF(AND(F939&lt;=2,G939&lt;=2,H939&lt;=2,I939&lt;=2),"Emerging","Progressing")))</f>
        <v/>
      </c>
      <c r="K939" s="6" t="str">
        <f aca="false">IF(F939="","",IF(J939="Proficient","Yes","No"))</f>
        <v/>
      </c>
      <c r="L939" s="6" t="str">
        <f aca="false">IF(F939="","",INDEX({"Listening","Speaking","Reading","Writing"},MATCH(MIN(F939:I939),F939:I939,0)))</f>
        <v/>
      </c>
      <c r="M939" s="17"/>
      <c r="N939" s="6" t="str">
        <f aca="false">IF(OR(F939="",M939=""),"",ROUND(AVERAGE(F939:I939)-M939,1))</f>
        <v/>
      </c>
      <c r="O939" s="17"/>
      <c r="P939" s="17"/>
      <c r="Q939" s="17"/>
    </row>
    <row r="940" customFormat="false" ht="15" hidden="false" customHeight="true" outlineLevel="0" collapsed="false">
      <c r="A940" s="17"/>
      <c r="B940" s="17"/>
      <c r="C940" s="17"/>
      <c r="D940" s="17"/>
      <c r="E940" s="17"/>
      <c r="F940" s="17"/>
      <c r="G940" s="17"/>
      <c r="H940" s="17"/>
      <c r="I940" s="17"/>
      <c r="J940" s="6" t="str">
        <f aca="false">IF(F940="","",IF(AND(F940&gt;=4,G940&gt;=4,H940&gt;=4,I940&gt;=4),"Proficient",IF(AND(F940&lt;=2,G940&lt;=2,H940&lt;=2,I940&lt;=2),"Emerging","Progressing")))</f>
        <v/>
      </c>
      <c r="K940" s="6" t="str">
        <f aca="false">IF(F940="","",IF(J940="Proficient","Yes","No"))</f>
        <v/>
      </c>
      <c r="L940" s="6" t="str">
        <f aca="false">IF(F940="","",INDEX({"Listening","Speaking","Reading","Writing"},MATCH(MIN(F940:I940),F940:I940,0)))</f>
        <v/>
      </c>
      <c r="M940" s="17"/>
      <c r="N940" s="6" t="str">
        <f aca="false">IF(OR(F940="",M940=""),"",ROUND(AVERAGE(F940:I940)-M940,1))</f>
        <v/>
      </c>
      <c r="O940" s="17"/>
      <c r="P940" s="17"/>
      <c r="Q940" s="17"/>
    </row>
    <row r="941" customFormat="false" ht="15" hidden="false" customHeight="true" outlineLevel="0" collapsed="false">
      <c r="A941" s="17"/>
      <c r="B941" s="17"/>
      <c r="C941" s="17"/>
      <c r="D941" s="17"/>
      <c r="E941" s="17"/>
      <c r="F941" s="17"/>
      <c r="G941" s="17"/>
      <c r="H941" s="17"/>
      <c r="I941" s="17"/>
      <c r="J941" s="6" t="str">
        <f aca="false">IF(F941="","",IF(AND(F941&gt;=4,G941&gt;=4,H941&gt;=4,I941&gt;=4),"Proficient",IF(AND(F941&lt;=2,G941&lt;=2,H941&lt;=2,I941&lt;=2),"Emerging","Progressing")))</f>
        <v/>
      </c>
      <c r="K941" s="6" t="str">
        <f aca="false">IF(F941="","",IF(J941="Proficient","Yes","No"))</f>
        <v/>
      </c>
      <c r="L941" s="6" t="str">
        <f aca="false">IF(F941="","",INDEX({"Listening","Speaking","Reading","Writing"},MATCH(MIN(F941:I941),F941:I941,0)))</f>
        <v/>
      </c>
      <c r="M941" s="17"/>
      <c r="N941" s="6" t="str">
        <f aca="false">IF(OR(F941="",M941=""),"",ROUND(AVERAGE(F941:I941)-M941,1))</f>
        <v/>
      </c>
      <c r="O941" s="17"/>
      <c r="P941" s="17"/>
      <c r="Q941" s="17"/>
    </row>
    <row r="942" customFormat="false" ht="15" hidden="false" customHeight="true" outlineLevel="0" collapsed="false">
      <c r="A942" s="17"/>
      <c r="B942" s="17"/>
      <c r="C942" s="17"/>
      <c r="D942" s="17"/>
      <c r="E942" s="17"/>
      <c r="F942" s="17"/>
      <c r="G942" s="17"/>
      <c r="H942" s="17"/>
      <c r="I942" s="17"/>
      <c r="J942" s="6" t="str">
        <f aca="false">IF(F942="","",IF(AND(F942&gt;=4,G942&gt;=4,H942&gt;=4,I942&gt;=4),"Proficient",IF(AND(F942&lt;=2,G942&lt;=2,H942&lt;=2,I942&lt;=2),"Emerging","Progressing")))</f>
        <v/>
      </c>
      <c r="K942" s="6" t="str">
        <f aca="false">IF(F942="","",IF(J942="Proficient","Yes","No"))</f>
        <v/>
      </c>
      <c r="L942" s="6" t="str">
        <f aca="false">IF(F942="","",INDEX({"Listening","Speaking","Reading","Writing"},MATCH(MIN(F942:I942),F942:I942,0)))</f>
        <v/>
      </c>
      <c r="M942" s="17"/>
      <c r="N942" s="6" t="str">
        <f aca="false">IF(OR(F942="",M942=""),"",ROUND(AVERAGE(F942:I942)-M942,1))</f>
        <v/>
      </c>
      <c r="O942" s="17"/>
      <c r="P942" s="17"/>
      <c r="Q942" s="17"/>
    </row>
    <row r="943" customFormat="false" ht="15" hidden="false" customHeight="true" outlineLevel="0" collapsed="false">
      <c r="A943" s="17"/>
      <c r="B943" s="17"/>
      <c r="C943" s="17"/>
      <c r="D943" s="17"/>
      <c r="E943" s="17"/>
      <c r="F943" s="17"/>
      <c r="G943" s="17"/>
      <c r="H943" s="17"/>
      <c r="I943" s="17"/>
      <c r="J943" s="6" t="str">
        <f aca="false">IF(F943="","",IF(AND(F943&gt;=4,G943&gt;=4,H943&gt;=4,I943&gt;=4),"Proficient",IF(AND(F943&lt;=2,G943&lt;=2,H943&lt;=2,I943&lt;=2),"Emerging","Progressing")))</f>
        <v/>
      </c>
      <c r="K943" s="6" t="str">
        <f aca="false">IF(F943="","",IF(J943="Proficient","Yes","No"))</f>
        <v/>
      </c>
      <c r="L943" s="6" t="str">
        <f aca="false">IF(F943="","",INDEX({"Listening","Speaking","Reading","Writing"},MATCH(MIN(F943:I943),F943:I943,0)))</f>
        <v/>
      </c>
      <c r="M943" s="17"/>
      <c r="N943" s="6" t="str">
        <f aca="false">IF(OR(F943="",M943=""),"",ROUND(AVERAGE(F943:I943)-M943,1))</f>
        <v/>
      </c>
      <c r="O943" s="17"/>
      <c r="P943" s="17"/>
      <c r="Q943" s="17"/>
    </row>
    <row r="944" customFormat="false" ht="15" hidden="false" customHeight="true" outlineLevel="0" collapsed="false">
      <c r="A944" s="17"/>
      <c r="B944" s="17"/>
      <c r="C944" s="17"/>
      <c r="D944" s="17"/>
      <c r="E944" s="17"/>
      <c r="F944" s="17"/>
      <c r="G944" s="17"/>
      <c r="H944" s="17"/>
      <c r="I944" s="17"/>
      <c r="J944" s="6" t="str">
        <f aca="false">IF(F944="","",IF(AND(F944&gt;=4,G944&gt;=4,H944&gt;=4,I944&gt;=4),"Proficient",IF(AND(F944&lt;=2,G944&lt;=2,H944&lt;=2,I944&lt;=2),"Emerging","Progressing")))</f>
        <v/>
      </c>
      <c r="K944" s="6" t="str">
        <f aca="false">IF(F944="","",IF(J944="Proficient","Yes","No"))</f>
        <v/>
      </c>
      <c r="L944" s="6" t="str">
        <f aca="false">IF(F944="","",INDEX({"Listening","Speaking","Reading","Writing"},MATCH(MIN(F944:I944),F944:I944,0)))</f>
        <v/>
      </c>
      <c r="M944" s="17"/>
      <c r="N944" s="6" t="str">
        <f aca="false">IF(OR(F944="",M944=""),"",ROUND(AVERAGE(F944:I944)-M944,1))</f>
        <v/>
      </c>
      <c r="O944" s="17"/>
      <c r="P944" s="17"/>
      <c r="Q944" s="17"/>
    </row>
    <row r="945" customFormat="false" ht="15" hidden="false" customHeight="true" outlineLevel="0" collapsed="false">
      <c r="A945" s="17"/>
      <c r="B945" s="17"/>
      <c r="C945" s="17"/>
      <c r="D945" s="17"/>
      <c r="E945" s="17"/>
      <c r="F945" s="17"/>
      <c r="G945" s="17"/>
      <c r="H945" s="17"/>
      <c r="I945" s="17"/>
      <c r="J945" s="6" t="str">
        <f aca="false">IF(F945="","",IF(AND(F945&gt;=4,G945&gt;=4,H945&gt;=4,I945&gt;=4),"Proficient",IF(AND(F945&lt;=2,G945&lt;=2,H945&lt;=2,I945&lt;=2),"Emerging","Progressing")))</f>
        <v/>
      </c>
      <c r="K945" s="6" t="str">
        <f aca="false">IF(F945="","",IF(J945="Proficient","Yes","No"))</f>
        <v/>
      </c>
      <c r="L945" s="6" t="str">
        <f aca="false">IF(F945="","",INDEX({"Listening","Speaking","Reading","Writing"},MATCH(MIN(F945:I945),F945:I945,0)))</f>
        <v/>
      </c>
      <c r="M945" s="17"/>
      <c r="N945" s="6" t="str">
        <f aca="false">IF(OR(F945="",M945=""),"",ROUND(AVERAGE(F945:I945)-M945,1))</f>
        <v/>
      </c>
      <c r="O945" s="17"/>
      <c r="P945" s="17"/>
      <c r="Q945" s="17"/>
    </row>
    <row r="946" customFormat="false" ht="15" hidden="false" customHeight="true" outlineLevel="0" collapsed="false">
      <c r="A946" s="17"/>
      <c r="B946" s="17"/>
      <c r="C946" s="17"/>
      <c r="D946" s="17"/>
      <c r="E946" s="17"/>
      <c r="F946" s="17"/>
      <c r="G946" s="17"/>
      <c r="H946" s="17"/>
      <c r="I946" s="17"/>
      <c r="J946" s="6" t="str">
        <f aca="false">IF(F946="","",IF(AND(F946&gt;=4,G946&gt;=4,H946&gt;=4,I946&gt;=4),"Proficient",IF(AND(F946&lt;=2,G946&lt;=2,H946&lt;=2,I946&lt;=2),"Emerging","Progressing")))</f>
        <v/>
      </c>
      <c r="K946" s="6" t="str">
        <f aca="false">IF(F946="","",IF(J946="Proficient","Yes","No"))</f>
        <v/>
      </c>
      <c r="L946" s="6" t="str">
        <f aca="false">IF(F946="","",INDEX({"Listening","Speaking","Reading","Writing"},MATCH(MIN(F946:I946),F946:I946,0)))</f>
        <v/>
      </c>
      <c r="M946" s="17"/>
      <c r="N946" s="6" t="str">
        <f aca="false">IF(OR(F946="",M946=""),"",ROUND(AVERAGE(F946:I946)-M946,1))</f>
        <v/>
      </c>
      <c r="O946" s="17"/>
      <c r="P946" s="17"/>
      <c r="Q946" s="17"/>
    </row>
    <row r="947" customFormat="false" ht="15" hidden="false" customHeight="true" outlineLevel="0" collapsed="false">
      <c r="A947" s="17"/>
      <c r="B947" s="17"/>
      <c r="C947" s="17"/>
      <c r="D947" s="17"/>
      <c r="E947" s="17"/>
      <c r="F947" s="17"/>
      <c r="G947" s="17"/>
      <c r="H947" s="17"/>
      <c r="I947" s="17"/>
      <c r="J947" s="6" t="str">
        <f aca="false">IF(F947="","",IF(AND(F947&gt;=4,G947&gt;=4,H947&gt;=4,I947&gt;=4),"Proficient",IF(AND(F947&lt;=2,G947&lt;=2,H947&lt;=2,I947&lt;=2),"Emerging","Progressing")))</f>
        <v/>
      </c>
      <c r="K947" s="6" t="str">
        <f aca="false">IF(F947="","",IF(J947="Proficient","Yes","No"))</f>
        <v/>
      </c>
      <c r="L947" s="6" t="str">
        <f aca="false">IF(F947="","",INDEX({"Listening","Speaking","Reading","Writing"},MATCH(MIN(F947:I947),F947:I947,0)))</f>
        <v/>
      </c>
      <c r="M947" s="17"/>
      <c r="N947" s="6" t="str">
        <f aca="false">IF(OR(F947="",M947=""),"",ROUND(AVERAGE(F947:I947)-M947,1))</f>
        <v/>
      </c>
      <c r="O947" s="17"/>
      <c r="P947" s="17"/>
      <c r="Q947" s="17"/>
    </row>
    <row r="948" customFormat="false" ht="15" hidden="false" customHeight="true" outlineLevel="0" collapsed="false">
      <c r="A948" s="17"/>
      <c r="B948" s="17"/>
      <c r="C948" s="17"/>
      <c r="D948" s="17"/>
      <c r="E948" s="17"/>
      <c r="F948" s="17"/>
      <c r="G948" s="17"/>
      <c r="H948" s="17"/>
      <c r="I948" s="17"/>
      <c r="J948" s="6" t="str">
        <f aca="false">IF(F948="","",IF(AND(F948&gt;=4,G948&gt;=4,H948&gt;=4,I948&gt;=4),"Proficient",IF(AND(F948&lt;=2,G948&lt;=2,H948&lt;=2,I948&lt;=2),"Emerging","Progressing")))</f>
        <v/>
      </c>
      <c r="K948" s="6" t="str">
        <f aca="false">IF(F948="","",IF(J948="Proficient","Yes","No"))</f>
        <v/>
      </c>
      <c r="L948" s="6" t="str">
        <f aca="false">IF(F948="","",INDEX({"Listening","Speaking","Reading","Writing"},MATCH(MIN(F948:I948),F948:I948,0)))</f>
        <v/>
      </c>
      <c r="M948" s="17"/>
      <c r="N948" s="6" t="str">
        <f aca="false">IF(OR(F948="",M948=""),"",ROUND(AVERAGE(F948:I948)-M948,1))</f>
        <v/>
      </c>
      <c r="O948" s="17"/>
      <c r="P948" s="17"/>
      <c r="Q948" s="17"/>
    </row>
    <row r="949" customFormat="false" ht="15" hidden="false" customHeight="true" outlineLevel="0" collapsed="false">
      <c r="A949" s="17"/>
      <c r="B949" s="17"/>
      <c r="C949" s="17"/>
      <c r="D949" s="17"/>
      <c r="E949" s="17"/>
      <c r="F949" s="17"/>
      <c r="G949" s="17"/>
      <c r="H949" s="17"/>
      <c r="I949" s="17"/>
      <c r="J949" s="6" t="str">
        <f aca="false">IF(F949="","",IF(AND(F949&gt;=4,G949&gt;=4,H949&gt;=4,I949&gt;=4),"Proficient",IF(AND(F949&lt;=2,G949&lt;=2,H949&lt;=2,I949&lt;=2),"Emerging","Progressing")))</f>
        <v/>
      </c>
      <c r="K949" s="6" t="str">
        <f aca="false">IF(F949="","",IF(J949="Proficient","Yes","No"))</f>
        <v/>
      </c>
      <c r="L949" s="6" t="str">
        <f aca="false">IF(F949="","",INDEX({"Listening","Speaking","Reading","Writing"},MATCH(MIN(F949:I949),F949:I949,0)))</f>
        <v/>
      </c>
      <c r="M949" s="17"/>
      <c r="N949" s="6" t="str">
        <f aca="false">IF(OR(F949="",M949=""),"",ROUND(AVERAGE(F949:I949)-M949,1))</f>
        <v/>
      </c>
      <c r="O949" s="17"/>
      <c r="P949" s="17"/>
      <c r="Q949" s="17"/>
    </row>
    <row r="950" customFormat="false" ht="15" hidden="false" customHeight="true" outlineLevel="0" collapsed="false">
      <c r="A950" s="17"/>
      <c r="B950" s="17"/>
      <c r="C950" s="17"/>
      <c r="D950" s="17"/>
      <c r="E950" s="17"/>
      <c r="F950" s="17"/>
      <c r="G950" s="17"/>
      <c r="H950" s="17"/>
      <c r="I950" s="17"/>
      <c r="J950" s="6" t="str">
        <f aca="false">IF(F950="","",IF(AND(F950&gt;=4,G950&gt;=4,H950&gt;=4,I950&gt;=4),"Proficient",IF(AND(F950&lt;=2,G950&lt;=2,H950&lt;=2,I950&lt;=2),"Emerging","Progressing")))</f>
        <v/>
      </c>
      <c r="K950" s="6" t="str">
        <f aca="false">IF(F950="","",IF(J950="Proficient","Yes","No"))</f>
        <v/>
      </c>
      <c r="L950" s="6" t="str">
        <f aca="false">IF(F950="","",INDEX({"Listening","Speaking","Reading","Writing"},MATCH(MIN(F950:I950),F950:I950,0)))</f>
        <v/>
      </c>
      <c r="M950" s="17"/>
      <c r="N950" s="6" t="str">
        <f aca="false">IF(OR(F950="",M950=""),"",ROUND(AVERAGE(F950:I950)-M950,1))</f>
        <v/>
      </c>
      <c r="O950" s="17"/>
      <c r="P950" s="17"/>
      <c r="Q950" s="17"/>
    </row>
    <row r="951" customFormat="false" ht="15" hidden="false" customHeight="true" outlineLevel="0" collapsed="false">
      <c r="A951" s="17"/>
      <c r="B951" s="17"/>
      <c r="C951" s="17"/>
      <c r="D951" s="17"/>
      <c r="E951" s="17"/>
      <c r="F951" s="17"/>
      <c r="G951" s="17"/>
      <c r="H951" s="17"/>
      <c r="I951" s="17"/>
      <c r="J951" s="6" t="str">
        <f aca="false">IF(F951="","",IF(AND(F951&gt;=4,G951&gt;=4,H951&gt;=4,I951&gt;=4),"Proficient",IF(AND(F951&lt;=2,G951&lt;=2,H951&lt;=2,I951&lt;=2),"Emerging","Progressing")))</f>
        <v/>
      </c>
      <c r="K951" s="6" t="str">
        <f aca="false">IF(F951="","",IF(J951="Proficient","Yes","No"))</f>
        <v/>
      </c>
      <c r="L951" s="6" t="str">
        <f aca="false">IF(F951="","",INDEX({"Listening","Speaking","Reading","Writing"},MATCH(MIN(F951:I951),F951:I951,0)))</f>
        <v/>
      </c>
      <c r="M951" s="17"/>
      <c r="N951" s="6" t="str">
        <f aca="false">IF(OR(F951="",M951=""),"",ROUND(AVERAGE(F951:I951)-M951,1))</f>
        <v/>
      </c>
      <c r="O951" s="17"/>
      <c r="P951" s="17"/>
      <c r="Q951" s="17"/>
    </row>
    <row r="952" customFormat="false" ht="15" hidden="false" customHeight="true" outlineLevel="0" collapsed="false">
      <c r="A952" s="17"/>
      <c r="B952" s="17"/>
      <c r="C952" s="17"/>
      <c r="D952" s="17"/>
      <c r="E952" s="17"/>
      <c r="F952" s="17"/>
      <c r="G952" s="17"/>
      <c r="H952" s="17"/>
      <c r="I952" s="17"/>
      <c r="J952" s="6" t="str">
        <f aca="false">IF(F952="","",IF(AND(F952&gt;=4,G952&gt;=4,H952&gt;=4,I952&gt;=4),"Proficient",IF(AND(F952&lt;=2,G952&lt;=2,H952&lt;=2,I952&lt;=2),"Emerging","Progressing")))</f>
        <v/>
      </c>
      <c r="K952" s="6" t="str">
        <f aca="false">IF(F952="","",IF(J952="Proficient","Yes","No"))</f>
        <v/>
      </c>
      <c r="L952" s="6" t="str">
        <f aca="false">IF(F952="","",INDEX({"Listening","Speaking","Reading","Writing"},MATCH(MIN(F952:I952),F952:I952,0)))</f>
        <v/>
      </c>
      <c r="M952" s="17"/>
      <c r="N952" s="6" t="str">
        <f aca="false">IF(OR(F952="",M952=""),"",ROUND(AVERAGE(F952:I952)-M952,1))</f>
        <v/>
      </c>
      <c r="O952" s="17"/>
      <c r="P952" s="17"/>
      <c r="Q952" s="17"/>
    </row>
    <row r="953" customFormat="false" ht="15" hidden="false" customHeight="true" outlineLevel="0" collapsed="false">
      <c r="A953" s="17"/>
      <c r="B953" s="17"/>
      <c r="C953" s="17"/>
      <c r="D953" s="17"/>
      <c r="E953" s="17"/>
      <c r="F953" s="17"/>
      <c r="G953" s="17"/>
      <c r="H953" s="17"/>
      <c r="I953" s="17"/>
      <c r="J953" s="6" t="str">
        <f aca="false">IF(F953="","",IF(AND(F953&gt;=4,G953&gt;=4,H953&gt;=4,I953&gt;=4),"Proficient",IF(AND(F953&lt;=2,G953&lt;=2,H953&lt;=2,I953&lt;=2),"Emerging","Progressing")))</f>
        <v/>
      </c>
      <c r="K953" s="6" t="str">
        <f aca="false">IF(F953="","",IF(J953="Proficient","Yes","No"))</f>
        <v/>
      </c>
      <c r="L953" s="6" t="str">
        <f aca="false">IF(F953="","",INDEX({"Listening","Speaking","Reading","Writing"},MATCH(MIN(F953:I953),F953:I953,0)))</f>
        <v/>
      </c>
      <c r="M953" s="17"/>
      <c r="N953" s="6" t="str">
        <f aca="false">IF(OR(F953="",M953=""),"",ROUND(AVERAGE(F953:I953)-M953,1))</f>
        <v/>
      </c>
      <c r="O953" s="17"/>
      <c r="P953" s="17"/>
      <c r="Q953" s="17"/>
    </row>
    <row r="954" customFormat="false" ht="15" hidden="false" customHeight="true" outlineLevel="0" collapsed="false">
      <c r="A954" s="17"/>
      <c r="B954" s="17"/>
      <c r="C954" s="17"/>
      <c r="D954" s="17"/>
      <c r="E954" s="17"/>
      <c r="F954" s="17"/>
      <c r="G954" s="17"/>
      <c r="H954" s="17"/>
      <c r="I954" s="17"/>
      <c r="J954" s="6" t="str">
        <f aca="false">IF(F954="","",IF(AND(F954&gt;=4,G954&gt;=4,H954&gt;=4,I954&gt;=4),"Proficient",IF(AND(F954&lt;=2,G954&lt;=2,H954&lt;=2,I954&lt;=2),"Emerging","Progressing")))</f>
        <v/>
      </c>
      <c r="K954" s="6" t="str">
        <f aca="false">IF(F954="","",IF(J954="Proficient","Yes","No"))</f>
        <v/>
      </c>
      <c r="L954" s="6" t="str">
        <f aca="false">IF(F954="","",INDEX({"Listening","Speaking","Reading","Writing"},MATCH(MIN(F954:I954),F954:I954,0)))</f>
        <v/>
      </c>
      <c r="M954" s="17"/>
      <c r="N954" s="6" t="str">
        <f aca="false">IF(OR(F954="",M954=""),"",ROUND(AVERAGE(F954:I954)-M954,1))</f>
        <v/>
      </c>
      <c r="O954" s="17"/>
      <c r="P954" s="17"/>
      <c r="Q954" s="17"/>
    </row>
    <row r="955" customFormat="false" ht="15" hidden="false" customHeight="true" outlineLevel="0" collapsed="false">
      <c r="A955" s="17"/>
      <c r="B955" s="17"/>
      <c r="C955" s="17"/>
      <c r="D955" s="17"/>
      <c r="E955" s="17"/>
      <c r="F955" s="17"/>
      <c r="G955" s="17"/>
      <c r="H955" s="17"/>
      <c r="I955" s="17"/>
      <c r="J955" s="6" t="str">
        <f aca="false">IF(F955="","",IF(AND(F955&gt;=4,G955&gt;=4,H955&gt;=4,I955&gt;=4),"Proficient",IF(AND(F955&lt;=2,G955&lt;=2,H955&lt;=2,I955&lt;=2),"Emerging","Progressing")))</f>
        <v/>
      </c>
      <c r="K955" s="6" t="str">
        <f aca="false">IF(F955="","",IF(J955="Proficient","Yes","No"))</f>
        <v/>
      </c>
      <c r="L955" s="6" t="str">
        <f aca="false">IF(F955="","",INDEX({"Listening","Speaking","Reading","Writing"},MATCH(MIN(F955:I955),F955:I955,0)))</f>
        <v/>
      </c>
      <c r="M955" s="17"/>
      <c r="N955" s="6" t="str">
        <f aca="false">IF(OR(F955="",M955=""),"",ROUND(AVERAGE(F955:I955)-M955,1))</f>
        <v/>
      </c>
      <c r="O955" s="17"/>
      <c r="P955" s="17"/>
      <c r="Q955" s="17"/>
    </row>
    <row r="956" customFormat="false" ht="15" hidden="false" customHeight="true" outlineLevel="0" collapsed="false">
      <c r="A956" s="17"/>
      <c r="B956" s="17"/>
      <c r="C956" s="17"/>
      <c r="D956" s="17"/>
      <c r="E956" s="17"/>
      <c r="F956" s="17"/>
      <c r="G956" s="17"/>
      <c r="H956" s="17"/>
      <c r="I956" s="17"/>
      <c r="J956" s="6" t="str">
        <f aca="false">IF(F956="","",IF(AND(F956&gt;=4,G956&gt;=4,H956&gt;=4,I956&gt;=4),"Proficient",IF(AND(F956&lt;=2,G956&lt;=2,H956&lt;=2,I956&lt;=2),"Emerging","Progressing")))</f>
        <v/>
      </c>
      <c r="K956" s="6" t="str">
        <f aca="false">IF(F956="","",IF(J956="Proficient","Yes","No"))</f>
        <v/>
      </c>
      <c r="L956" s="6" t="str">
        <f aca="false">IF(F956="","",INDEX({"Listening","Speaking","Reading","Writing"},MATCH(MIN(F956:I956),F956:I956,0)))</f>
        <v/>
      </c>
      <c r="M956" s="17"/>
      <c r="N956" s="6" t="str">
        <f aca="false">IF(OR(F956="",M956=""),"",ROUND(AVERAGE(F956:I956)-M956,1))</f>
        <v/>
      </c>
      <c r="O956" s="17"/>
      <c r="P956" s="17"/>
      <c r="Q956" s="17"/>
    </row>
    <row r="957" customFormat="false" ht="15" hidden="false" customHeight="true" outlineLevel="0" collapsed="false">
      <c r="A957" s="17"/>
      <c r="B957" s="17"/>
      <c r="C957" s="17"/>
      <c r="D957" s="17"/>
      <c r="E957" s="17"/>
      <c r="F957" s="17"/>
      <c r="G957" s="17"/>
      <c r="H957" s="17"/>
      <c r="I957" s="17"/>
      <c r="J957" s="6" t="str">
        <f aca="false">IF(F957="","",IF(AND(F957&gt;=4,G957&gt;=4,H957&gt;=4,I957&gt;=4),"Proficient",IF(AND(F957&lt;=2,G957&lt;=2,H957&lt;=2,I957&lt;=2),"Emerging","Progressing")))</f>
        <v/>
      </c>
      <c r="K957" s="6" t="str">
        <f aca="false">IF(F957="","",IF(J957="Proficient","Yes","No"))</f>
        <v/>
      </c>
      <c r="L957" s="6" t="str">
        <f aca="false">IF(F957="","",INDEX({"Listening","Speaking","Reading","Writing"},MATCH(MIN(F957:I957),F957:I957,0)))</f>
        <v/>
      </c>
      <c r="M957" s="17"/>
      <c r="N957" s="6" t="str">
        <f aca="false">IF(OR(F957="",M957=""),"",ROUND(AVERAGE(F957:I957)-M957,1))</f>
        <v/>
      </c>
      <c r="O957" s="17"/>
      <c r="P957" s="17"/>
      <c r="Q957" s="17"/>
    </row>
    <row r="958" customFormat="false" ht="15" hidden="false" customHeight="true" outlineLevel="0" collapsed="false">
      <c r="A958" s="17"/>
      <c r="B958" s="17"/>
      <c r="C958" s="17"/>
      <c r="D958" s="17"/>
      <c r="E958" s="17"/>
      <c r="F958" s="17"/>
      <c r="G958" s="17"/>
      <c r="H958" s="17"/>
      <c r="I958" s="17"/>
      <c r="J958" s="6" t="str">
        <f aca="false">IF(F958="","",IF(AND(F958&gt;=4,G958&gt;=4,H958&gt;=4,I958&gt;=4),"Proficient",IF(AND(F958&lt;=2,G958&lt;=2,H958&lt;=2,I958&lt;=2),"Emerging","Progressing")))</f>
        <v/>
      </c>
      <c r="K958" s="6" t="str">
        <f aca="false">IF(F958="","",IF(J958="Proficient","Yes","No"))</f>
        <v/>
      </c>
      <c r="L958" s="6" t="str">
        <f aca="false">IF(F958="","",INDEX({"Listening","Speaking","Reading","Writing"},MATCH(MIN(F958:I958),F958:I958,0)))</f>
        <v/>
      </c>
      <c r="M958" s="17"/>
      <c r="N958" s="6" t="str">
        <f aca="false">IF(OR(F958="",M958=""),"",ROUND(AVERAGE(F958:I958)-M958,1))</f>
        <v/>
      </c>
      <c r="O958" s="17"/>
      <c r="P958" s="17"/>
      <c r="Q958" s="17"/>
    </row>
    <row r="959" customFormat="false" ht="15" hidden="false" customHeight="true" outlineLevel="0" collapsed="false">
      <c r="A959" s="17"/>
      <c r="B959" s="17"/>
      <c r="C959" s="17"/>
      <c r="D959" s="17"/>
      <c r="E959" s="17"/>
      <c r="F959" s="17"/>
      <c r="G959" s="17"/>
      <c r="H959" s="17"/>
      <c r="I959" s="17"/>
      <c r="J959" s="6" t="str">
        <f aca="false">IF(F959="","",IF(AND(F959&gt;=4,G959&gt;=4,H959&gt;=4,I959&gt;=4),"Proficient",IF(AND(F959&lt;=2,G959&lt;=2,H959&lt;=2,I959&lt;=2),"Emerging","Progressing")))</f>
        <v/>
      </c>
      <c r="K959" s="6" t="str">
        <f aca="false">IF(F959="","",IF(J959="Proficient","Yes","No"))</f>
        <v/>
      </c>
      <c r="L959" s="6" t="str">
        <f aca="false">IF(F959="","",INDEX({"Listening","Speaking","Reading","Writing"},MATCH(MIN(F959:I959),F959:I959,0)))</f>
        <v/>
      </c>
      <c r="M959" s="17"/>
      <c r="N959" s="6" t="str">
        <f aca="false">IF(OR(F959="",M959=""),"",ROUND(AVERAGE(F959:I959)-M959,1))</f>
        <v/>
      </c>
      <c r="O959" s="17"/>
      <c r="P959" s="17"/>
      <c r="Q959" s="17"/>
    </row>
    <row r="960" customFormat="false" ht="15" hidden="false" customHeight="true" outlineLevel="0" collapsed="false">
      <c r="A960" s="17"/>
      <c r="B960" s="17"/>
      <c r="C960" s="17"/>
      <c r="D960" s="17"/>
      <c r="E960" s="17"/>
      <c r="F960" s="17"/>
      <c r="G960" s="17"/>
      <c r="H960" s="17"/>
      <c r="I960" s="17"/>
      <c r="J960" s="6" t="str">
        <f aca="false">IF(F960="","",IF(AND(F960&gt;=4,G960&gt;=4,H960&gt;=4,I960&gt;=4),"Proficient",IF(AND(F960&lt;=2,G960&lt;=2,H960&lt;=2,I960&lt;=2),"Emerging","Progressing")))</f>
        <v/>
      </c>
      <c r="K960" s="6" t="str">
        <f aca="false">IF(F960="","",IF(J960="Proficient","Yes","No"))</f>
        <v/>
      </c>
      <c r="L960" s="6" t="str">
        <f aca="false">IF(F960="","",INDEX({"Listening","Speaking","Reading","Writing"},MATCH(MIN(F960:I960),F960:I960,0)))</f>
        <v/>
      </c>
      <c r="M960" s="17"/>
      <c r="N960" s="6" t="str">
        <f aca="false">IF(OR(F960="",M960=""),"",ROUND(AVERAGE(F960:I960)-M960,1))</f>
        <v/>
      </c>
      <c r="O960" s="17"/>
      <c r="P960" s="17"/>
      <c r="Q960" s="17"/>
    </row>
    <row r="961" customFormat="false" ht="15" hidden="false" customHeight="true" outlineLevel="0" collapsed="false">
      <c r="A961" s="17"/>
      <c r="B961" s="17"/>
      <c r="C961" s="17"/>
      <c r="D961" s="17"/>
      <c r="E961" s="17"/>
      <c r="F961" s="17"/>
      <c r="G961" s="17"/>
      <c r="H961" s="17"/>
      <c r="I961" s="17"/>
      <c r="J961" s="6" t="str">
        <f aca="false">IF(F961="","",IF(AND(F961&gt;=4,G961&gt;=4,H961&gt;=4,I961&gt;=4),"Proficient",IF(AND(F961&lt;=2,G961&lt;=2,H961&lt;=2,I961&lt;=2),"Emerging","Progressing")))</f>
        <v/>
      </c>
      <c r="K961" s="6" t="str">
        <f aca="false">IF(F961="","",IF(J961="Proficient","Yes","No"))</f>
        <v/>
      </c>
      <c r="L961" s="6" t="str">
        <f aca="false">IF(F961="","",INDEX({"Listening","Speaking","Reading","Writing"},MATCH(MIN(F961:I961),F961:I961,0)))</f>
        <v/>
      </c>
      <c r="M961" s="17"/>
      <c r="N961" s="6" t="str">
        <f aca="false">IF(OR(F961="",M961=""),"",ROUND(AVERAGE(F961:I961)-M961,1))</f>
        <v/>
      </c>
      <c r="O961" s="17"/>
      <c r="P961" s="17"/>
      <c r="Q961" s="17"/>
    </row>
    <row r="962" customFormat="false" ht="15" hidden="false" customHeight="true" outlineLevel="0" collapsed="false">
      <c r="A962" s="17"/>
      <c r="B962" s="17"/>
      <c r="C962" s="17"/>
      <c r="D962" s="17"/>
      <c r="E962" s="17"/>
      <c r="F962" s="17"/>
      <c r="G962" s="17"/>
      <c r="H962" s="17"/>
      <c r="I962" s="17"/>
      <c r="J962" s="6" t="str">
        <f aca="false">IF(F962="","",IF(AND(F962&gt;=4,G962&gt;=4,H962&gt;=4,I962&gt;=4),"Proficient",IF(AND(F962&lt;=2,G962&lt;=2,H962&lt;=2,I962&lt;=2),"Emerging","Progressing")))</f>
        <v/>
      </c>
      <c r="K962" s="6" t="str">
        <f aca="false">IF(F962="","",IF(J962="Proficient","Yes","No"))</f>
        <v/>
      </c>
      <c r="L962" s="6" t="str">
        <f aca="false">IF(F962="","",INDEX({"Listening","Speaking","Reading","Writing"},MATCH(MIN(F962:I962),F962:I962,0)))</f>
        <v/>
      </c>
      <c r="M962" s="17"/>
      <c r="N962" s="6" t="str">
        <f aca="false">IF(OR(F962="",M962=""),"",ROUND(AVERAGE(F962:I962)-M962,1))</f>
        <v/>
      </c>
      <c r="O962" s="17"/>
      <c r="P962" s="17"/>
      <c r="Q962" s="17"/>
    </row>
    <row r="963" customFormat="false" ht="15" hidden="false" customHeight="true" outlineLevel="0" collapsed="false">
      <c r="A963" s="17"/>
      <c r="B963" s="17"/>
      <c r="C963" s="17"/>
      <c r="D963" s="17"/>
      <c r="E963" s="17"/>
      <c r="F963" s="17"/>
      <c r="G963" s="17"/>
      <c r="H963" s="17"/>
      <c r="I963" s="17"/>
      <c r="J963" s="6" t="str">
        <f aca="false">IF(F963="","",IF(AND(F963&gt;=4,G963&gt;=4,H963&gt;=4,I963&gt;=4),"Proficient",IF(AND(F963&lt;=2,G963&lt;=2,H963&lt;=2,I963&lt;=2),"Emerging","Progressing")))</f>
        <v/>
      </c>
      <c r="K963" s="6" t="str">
        <f aca="false">IF(F963="","",IF(J963="Proficient","Yes","No"))</f>
        <v/>
      </c>
      <c r="L963" s="6" t="str">
        <f aca="false">IF(F963="","",INDEX({"Listening","Speaking","Reading","Writing"},MATCH(MIN(F963:I963),F963:I963,0)))</f>
        <v/>
      </c>
      <c r="M963" s="17"/>
      <c r="N963" s="6" t="str">
        <f aca="false">IF(OR(F963="",M963=""),"",ROUND(AVERAGE(F963:I963)-M963,1))</f>
        <v/>
      </c>
      <c r="O963" s="17"/>
      <c r="P963" s="17"/>
      <c r="Q963" s="17"/>
    </row>
    <row r="964" customFormat="false" ht="15" hidden="false" customHeight="true" outlineLevel="0" collapsed="false">
      <c r="A964" s="17"/>
      <c r="B964" s="17"/>
      <c r="C964" s="17"/>
      <c r="D964" s="17"/>
      <c r="E964" s="17"/>
      <c r="F964" s="17"/>
      <c r="G964" s="17"/>
      <c r="H964" s="17"/>
      <c r="I964" s="17"/>
      <c r="J964" s="6" t="str">
        <f aca="false">IF(F964="","",IF(AND(F964&gt;=4,G964&gt;=4,H964&gt;=4,I964&gt;=4),"Proficient",IF(AND(F964&lt;=2,G964&lt;=2,H964&lt;=2,I964&lt;=2),"Emerging","Progressing")))</f>
        <v/>
      </c>
      <c r="K964" s="6" t="str">
        <f aca="false">IF(F964="","",IF(J964="Proficient","Yes","No"))</f>
        <v/>
      </c>
      <c r="L964" s="6" t="str">
        <f aca="false">IF(F964="","",INDEX({"Listening","Speaking","Reading","Writing"},MATCH(MIN(F964:I964),F964:I964,0)))</f>
        <v/>
      </c>
      <c r="M964" s="17"/>
      <c r="N964" s="6" t="str">
        <f aca="false">IF(OR(F964="",M964=""),"",ROUND(AVERAGE(F964:I964)-M964,1))</f>
        <v/>
      </c>
      <c r="O964" s="17"/>
      <c r="P964" s="17"/>
      <c r="Q964" s="17"/>
    </row>
    <row r="965" customFormat="false" ht="15" hidden="false" customHeight="true" outlineLevel="0" collapsed="false">
      <c r="A965" s="17"/>
      <c r="B965" s="17"/>
      <c r="C965" s="17"/>
      <c r="D965" s="17"/>
      <c r="E965" s="17"/>
      <c r="F965" s="17"/>
      <c r="G965" s="17"/>
      <c r="H965" s="17"/>
      <c r="I965" s="17"/>
      <c r="J965" s="6" t="str">
        <f aca="false">IF(F965="","",IF(AND(F965&gt;=4,G965&gt;=4,H965&gt;=4,I965&gt;=4),"Proficient",IF(AND(F965&lt;=2,G965&lt;=2,H965&lt;=2,I965&lt;=2),"Emerging","Progressing")))</f>
        <v/>
      </c>
      <c r="K965" s="6" t="str">
        <f aca="false">IF(F965="","",IF(J965="Proficient","Yes","No"))</f>
        <v/>
      </c>
      <c r="L965" s="6" t="str">
        <f aca="false">IF(F965="","",INDEX({"Listening","Speaking","Reading","Writing"},MATCH(MIN(F965:I965),F965:I965,0)))</f>
        <v/>
      </c>
      <c r="M965" s="17"/>
      <c r="N965" s="6" t="str">
        <f aca="false">IF(OR(F965="",M965=""),"",ROUND(AVERAGE(F965:I965)-M965,1))</f>
        <v/>
      </c>
      <c r="O965" s="17"/>
      <c r="P965" s="17"/>
      <c r="Q965" s="17"/>
    </row>
    <row r="966" customFormat="false" ht="15" hidden="false" customHeight="true" outlineLevel="0" collapsed="false">
      <c r="A966" s="17"/>
      <c r="B966" s="17"/>
      <c r="C966" s="17"/>
      <c r="D966" s="17"/>
      <c r="E966" s="17"/>
      <c r="F966" s="17"/>
      <c r="G966" s="17"/>
      <c r="H966" s="17"/>
      <c r="I966" s="17"/>
      <c r="J966" s="6" t="str">
        <f aca="false">IF(F966="","",IF(AND(F966&gt;=4,G966&gt;=4,H966&gt;=4,I966&gt;=4),"Proficient",IF(AND(F966&lt;=2,G966&lt;=2,H966&lt;=2,I966&lt;=2),"Emerging","Progressing")))</f>
        <v/>
      </c>
      <c r="K966" s="6" t="str">
        <f aca="false">IF(F966="","",IF(J966="Proficient","Yes","No"))</f>
        <v/>
      </c>
      <c r="L966" s="6" t="str">
        <f aca="false">IF(F966="","",INDEX({"Listening","Speaking","Reading","Writing"},MATCH(MIN(F966:I966),F966:I966,0)))</f>
        <v/>
      </c>
      <c r="M966" s="17"/>
      <c r="N966" s="6" t="str">
        <f aca="false">IF(OR(F966="",M966=""),"",ROUND(AVERAGE(F966:I966)-M966,1))</f>
        <v/>
      </c>
      <c r="O966" s="17"/>
      <c r="P966" s="17"/>
      <c r="Q966" s="17"/>
    </row>
    <row r="967" customFormat="false" ht="15" hidden="false" customHeight="true" outlineLevel="0" collapsed="false">
      <c r="A967" s="17"/>
      <c r="B967" s="17"/>
      <c r="C967" s="17"/>
      <c r="D967" s="17"/>
      <c r="E967" s="17"/>
      <c r="F967" s="17"/>
      <c r="G967" s="17"/>
      <c r="H967" s="17"/>
      <c r="I967" s="17"/>
      <c r="J967" s="6" t="str">
        <f aca="false">IF(F967="","",IF(AND(F967&gt;=4,G967&gt;=4,H967&gt;=4,I967&gt;=4),"Proficient",IF(AND(F967&lt;=2,G967&lt;=2,H967&lt;=2,I967&lt;=2),"Emerging","Progressing")))</f>
        <v/>
      </c>
      <c r="K967" s="6" t="str">
        <f aca="false">IF(F967="","",IF(J967="Proficient","Yes","No"))</f>
        <v/>
      </c>
      <c r="L967" s="6" t="str">
        <f aca="false">IF(F967="","",INDEX({"Listening","Speaking","Reading","Writing"},MATCH(MIN(F967:I967),F967:I967,0)))</f>
        <v/>
      </c>
      <c r="M967" s="17"/>
      <c r="N967" s="6" t="str">
        <f aca="false">IF(OR(F967="",M967=""),"",ROUND(AVERAGE(F967:I967)-M967,1))</f>
        <v/>
      </c>
      <c r="O967" s="17"/>
      <c r="P967" s="17"/>
      <c r="Q967" s="17"/>
    </row>
    <row r="968" customFormat="false" ht="15" hidden="false" customHeight="true" outlineLevel="0" collapsed="false">
      <c r="A968" s="17"/>
      <c r="B968" s="17"/>
      <c r="C968" s="17"/>
      <c r="D968" s="17"/>
      <c r="E968" s="17"/>
      <c r="F968" s="17"/>
      <c r="G968" s="17"/>
      <c r="H968" s="17"/>
      <c r="I968" s="17"/>
      <c r="J968" s="6" t="str">
        <f aca="false">IF(F968="","",IF(AND(F968&gt;=4,G968&gt;=4,H968&gt;=4,I968&gt;=4),"Proficient",IF(AND(F968&lt;=2,G968&lt;=2,H968&lt;=2,I968&lt;=2),"Emerging","Progressing")))</f>
        <v/>
      </c>
      <c r="K968" s="6" t="str">
        <f aca="false">IF(F968="","",IF(J968="Proficient","Yes","No"))</f>
        <v/>
      </c>
      <c r="L968" s="6" t="str">
        <f aca="false">IF(F968="","",INDEX({"Listening","Speaking","Reading","Writing"},MATCH(MIN(F968:I968),F968:I968,0)))</f>
        <v/>
      </c>
      <c r="M968" s="17"/>
      <c r="N968" s="6" t="str">
        <f aca="false">IF(OR(F968="",M968=""),"",ROUND(AVERAGE(F968:I968)-M968,1))</f>
        <v/>
      </c>
      <c r="O968" s="17"/>
      <c r="P968" s="17"/>
      <c r="Q968" s="17"/>
    </row>
    <row r="969" customFormat="false" ht="15" hidden="false" customHeight="true" outlineLevel="0" collapsed="false">
      <c r="A969" s="17"/>
      <c r="B969" s="17"/>
      <c r="C969" s="17"/>
      <c r="D969" s="17"/>
      <c r="E969" s="17"/>
      <c r="F969" s="17"/>
      <c r="G969" s="17"/>
      <c r="H969" s="17"/>
      <c r="I969" s="17"/>
      <c r="J969" s="6" t="str">
        <f aca="false">IF(F969="","",IF(AND(F969&gt;=4,G969&gt;=4,H969&gt;=4,I969&gt;=4),"Proficient",IF(AND(F969&lt;=2,G969&lt;=2,H969&lt;=2,I969&lt;=2),"Emerging","Progressing")))</f>
        <v/>
      </c>
      <c r="K969" s="6" t="str">
        <f aca="false">IF(F969="","",IF(J969="Proficient","Yes","No"))</f>
        <v/>
      </c>
      <c r="L969" s="6" t="str">
        <f aca="false">IF(F969="","",INDEX({"Listening","Speaking","Reading","Writing"},MATCH(MIN(F969:I969),F969:I969,0)))</f>
        <v/>
      </c>
      <c r="M969" s="17"/>
      <c r="N969" s="6" t="str">
        <f aca="false">IF(OR(F969="",M969=""),"",ROUND(AVERAGE(F969:I969)-M969,1))</f>
        <v/>
      </c>
      <c r="O969" s="17"/>
      <c r="P969" s="17"/>
      <c r="Q969" s="17"/>
    </row>
    <row r="970" customFormat="false" ht="15" hidden="false" customHeight="true" outlineLevel="0" collapsed="false">
      <c r="A970" s="17"/>
      <c r="B970" s="17"/>
      <c r="C970" s="17"/>
      <c r="D970" s="17"/>
      <c r="E970" s="17"/>
      <c r="F970" s="17"/>
      <c r="G970" s="17"/>
      <c r="H970" s="17"/>
      <c r="I970" s="17"/>
      <c r="J970" s="6" t="str">
        <f aca="false">IF(F970="","",IF(AND(F970&gt;=4,G970&gt;=4,H970&gt;=4,I970&gt;=4),"Proficient",IF(AND(F970&lt;=2,G970&lt;=2,H970&lt;=2,I970&lt;=2),"Emerging","Progressing")))</f>
        <v/>
      </c>
      <c r="K970" s="6" t="str">
        <f aca="false">IF(F970="","",IF(J970="Proficient","Yes","No"))</f>
        <v/>
      </c>
      <c r="L970" s="6" t="str">
        <f aca="false">IF(F970="","",INDEX({"Listening","Speaking","Reading","Writing"},MATCH(MIN(F970:I970),F970:I970,0)))</f>
        <v/>
      </c>
      <c r="M970" s="17"/>
      <c r="N970" s="6" t="str">
        <f aca="false">IF(OR(F970="",M970=""),"",ROUND(AVERAGE(F970:I970)-M970,1))</f>
        <v/>
      </c>
      <c r="O970" s="17"/>
      <c r="P970" s="17"/>
      <c r="Q970" s="17"/>
    </row>
    <row r="971" customFormat="false" ht="15" hidden="false" customHeight="true" outlineLevel="0" collapsed="false">
      <c r="A971" s="17"/>
      <c r="B971" s="17"/>
      <c r="C971" s="17"/>
      <c r="D971" s="17"/>
      <c r="E971" s="17"/>
      <c r="F971" s="17"/>
      <c r="G971" s="17"/>
      <c r="H971" s="17"/>
      <c r="I971" s="17"/>
      <c r="J971" s="6" t="str">
        <f aca="false">IF(F971="","",IF(AND(F971&gt;=4,G971&gt;=4,H971&gt;=4,I971&gt;=4),"Proficient",IF(AND(F971&lt;=2,G971&lt;=2,H971&lt;=2,I971&lt;=2),"Emerging","Progressing")))</f>
        <v/>
      </c>
      <c r="K971" s="6" t="str">
        <f aca="false">IF(F971="","",IF(J971="Proficient","Yes","No"))</f>
        <v/>
      </c>
      <c r="L971" s="6" t="str">
        <f aca="false">IF(F971="","",INDEX({"Listening","Speaking","Reading","Writing"},MATCH(MIN(F971:I971),F971:I971,0)))</f>
        <v/>
      </c>
      <c r="M971" s="17"/>
      <c r="N971" s="6" t="str">
        <f aca="false">IF(OR(F971="",M971=""),"",ROUND(AVERAGE(F971:I971)-M971,1))</f>
        <v/>
      </c>
      <c r="O971" s="17"/>
      <c r="P971" s="17"/>
      <c r="Q971" s="17"/>
    </row>
    <row r="972" customFormat="false" ht="15" hidden="false" customHeight="true" outlineLevel="0" collapsed="false">
      <c r="A972" s="17"/>
      <c r="B972" s="17"/>
      <c r="C972" s="17"/>
      <c r="D972" s="17"/>
      <c r="E972" s="17"/>
      <c r="F972" s="17"/>
      <c r="G972" s="17"/>
      <c r="H972" s="17"/>
      <c r="I972" s="17"/>
      <c r="J972" s="6" t="str">
        <f aca="false">IF(F972="","",IF(AND(F972&gt;=4,G972&gt;=4,H972&gt;=4,I972&gt;=4),"Proficient",IF(AND(F972&lt;=2,G972&lt;=2,H972&lt;=2,I972&lt;=2),"Emerging","Progressing")))</f>
        <v/>
      </c>
      <c r="K972" s="6" t="str">
        <f aca="false">IF(F972="","",IF(J972="Proficient","Yes","No"))</f>
        <v/>
      </c>
      <c r="L972" s="6" t="str">
        <f aca="false">IF(F972="","",INDEX({"Listening","Speaking","Reading","Writing"},MATCH(MIN(F972:I972),F972:I972,0)))</f>
        <v/>
      </c>
      <c r="M972" s="17"/>
      <c r="N972" s="6" t="str">
        <f aca="false">IF(OR(F972="",M972=""),"",ROUND(AVERAGE(F972:I972)-M972,1))</f>
        <v/>
      </c>
      <c r="O972" s="17"/>
      <c r="P972" s="17"/>
      <c r="Q972" s="17"/>
    </row>
    <row r="973" customFormat="false" ht="15" hidden="false" customHeight="true" outlineLevel="0" collapsed="false">
      <c r="A973" s="17"/>
      <c r="B973" s="17"/>
      <c r="C973" s="17"/>
      <c r="D973" s="17"/>
      <c r="E973" s="17"/>
      <c r="F973" s="17"/>
      <c r="G973" s="17"/>
      <c r="H973" s="17"/>
      <c r="I973" s="17"/>
      <c r="J973" s="6" t="str">
        <f aca="false">IF(F973="","",IF(AND(F973&gt;=4,G973&gt;=4,H973&gt;=4,I973&gt;=4),"Proficient",IF(AND(F973&lt;=2,G973&lt;=2,H973&lt;=2,I973&lt;=2),"Emerging","Progressing")))</f>
        <v/>
      </c>
      <c r="K973" s="6" t="str">
        <f aca="false">IF(F973="","",IF(J973="Proficient","Yes","No"))</f>
        <v/>
      </c>
      <c r="L973" s="6" t="str">
        <f aca="false">IF(F973="","",INDEX({"Listening","Speaking","Reading","Writing"},MATCH(MIN(F973:I973),F973:I973,0)))</f>
        <v/>
      </c>
      <c r="M973" s="17"/>
      <c r="N973" s="6" t="str">
        <f aca="false">IF(OR(F973="",M973=""),"",ROUND(AVERAGE(F973:I973)-M973,1))</f>
        <v/>
      </c>
      <c r="O973" s="17"/>
      <c r="P973" s="17"/>
      <c r="Q973" s="17"/>
    </row>
    <row r="974" customFormat="false" ht="15" hidden="false" customHeight="true" outlineLevel="0" collapsed="false">
      <c r="A974" s="17"/>
      <c r="B974" s="17"/>
      <c r="C974" s="17"/>
      <c r="D974" s="17"/>
      <c r="E974" s="17"/>
      <c r="F974" s="17"/>
      <c r="G974" s="17"/>
      <c r="H974" s="17"/>
      <c r="I974" s="17"/>
      <c r="J974" s="6" t="str">
        <f aca="false">IF(F974="","",IF(AND(F974&gt;=4,G974&gt;=4,H974&gt;=4,I974&gt;=4),"Proficient",IF(AND(F974&lt;=2,G974&lt;=2,H974&lt;=2,I974&lt;=2),"Emerging","Progressing")))</f>
        <v/>
      </c>
      <c r="K974" s="6" t="str">
        <f aca="false">IF(F974="","",IF(J974="Proficient","Yes","No"))</f>
        <v/>
      </c>
      <c r="L974" s="6" t="str">
        <f aca="false">IF(F974="","",INDEX({"Listening","Speaking","Reading","Writing"},MATCH(MIN(F974:I974),F974:I974,0)))</f>
        <v/>
      </c>
      <c r="M974" s="17"/>
      <c r="N974" s="6" t="str">
        <f aca="false">IF(OR(F974="",M974=""),"",ROUND(AVERAGE(F974:I974)-M974,1))</f>
        <v/>
      </c>
      <c r="O974" s="17"/>
      <c r="P974" s="17"/>
      <c r="Q974" s="17"/>
    </row>
    <row r="975" customFormat="false" ht="15" hidden="false" customHeight="true" outlineLevel="0" collapsed="false">
      <c r="A975" s="17"/>
      <c r="B975" s="17"/>
      <c r="C975" s="17"/>
      <c r="D975" s="17"/>
      <c r="E975" s="17"/>
      <c r="F975" s="17"/>
      <c r="G975" s="17"/>
      <c r="H975" s="17"/>
      <c r="I975" s="17"/>
      <c r="J975" s="6" t="str">
        <f aca="false">IF(F975="","",IF(AND(F975&gt;=4,G975&gt;=4,H975&gt;=4,I975&gt;=4),"Proficient",IF(AND(F975&lt;=2,G975&lt;=2,H975&lt;=2,I975&lt;=2),"Emerging","Progressing")))</f>
        <v/>
      </c>
      <c r="K975" s="6" t="str">
        <f aca="false">IF(F975="","",IF(J975="Proficient","Yes","No"))</f>
        <v/>
      </c>
      <c r="L975" s="6" t="str">
        <f aca="false">IF(F975="","",INDEX({"Listening","Speaking","Reading","Writing"},MATCH(MIN(F975:I975),F975:I975,0)))</f>
        <v/>
      </c>
      <c r="M975" s="17"/>
      <c r="N975" s="6" t="str">
        <f aca="false">IF(OR(F975="",M975=""),"",ROUND(AVERAGE(F975:I975)-M975,1))</f>
        <v/>
      </c>
      <c r="O975" s="17"/>
      <c r="P975" s="17"/>
      <c r="Q975" s="17"/>
    </row>
    <row r="976" customFormat="false" ht="15" hidden="false" customHeight="true" outlineLevel="0" collapsed="false">
      <c r="A976" s="17"/>
      <c r="B976" s="17"/>
      <c r="C976" s="17"/>
      <c r="D976" s="17"/>
      <c r="E976" s="17"/>
      <c r="F976" s="17"/>
      <c r="G976" s="17"/>
      <c r="H976" s="17"/>
      <c r="I976" s="17"/>
      <c r="J976" s="6" t="str">
        <f aca="false">IF(F976="","",IF(AND(F976&gt;=4,G976&gt;=4,H976&gt;=4,I976&gt;=4),"Proficient",IF(AND(F976&lt;=2,G976&lt;=2,H976&lt;=2,I976&lt;=2),"Emerging","Progressing")))</f>
        <v/>
      </c>
      <c r="K976" s="6" t="str">
        <f aca="false">IF(F976="","",IF(J976="Proficient","Yes","No"))</f>
        <v/>
      </c>
      <c r="L976" s="6" t="str">
        <f aca="false">IF(F976="","",INDEX({"Listening","Speaking","Reading","Writing"},MATCH(MIN(F976:I976),F976:I976,0)))</f>
        <v/>
      </c>
      <c r="M976" s="17"/>
      <c r="N976" s="6" t="str">
        <f aca="false">IF(OR(F976="",M976=""),"",ROUND(AVERAGE(F976:I976)-M976,1))</f>
        <v/>
      </c>
      <c r="O976" s="17"/>
      <c r="P976" s="17"/>
      <c r="Q976" s="17"/>
    </row>
    <row r="977" customFormat="false" ht="15" hidden="false" customHeight="true" outlineLevel="0" collapsed="false">
      <c r="A977" s="17"/>
      <c r="B977" s="17"/>
      <c r="C977" s="17"/>
      <c r="D977" s="17"/>
      <c r="E977" s="17"/>
      <c r="F977" s="17"/>
      <c r="G977" s="17"/>
      <c r="H977" s="17"/>
      <c r="I977" s="17"/>
      <c r="J977" s="6" t="str">
        <f aca="false">IF(F977="","",IF(AND(F977&gt;=4,G977&gt;=4,H977&gt;=4,I977&gt;=4),"Proficient",IF(AND(F977&lt;=2,G977&lt;=2,H977&lt;=2,I977&lt;=2),"Emerging","Progressing")))</f>
        <v/>
      </c>
      <c r="K977" s="6" t="str">
        <f aca="false">IF(F977="","",IF(J977="Proficient","Yes","No"))</f>
        <v/>
      </c>
      <c r="L977" s="6" t="str">
        <f aca="false">IF(F977="","",INDEX({"Listening","Speaking","Reading","Writing"},MATCH(MIN(F977:I977),F977:I977,0)))</f>
        <v/>
      </c>
      <c r="M977" s="17"/>
      <c r="N977" s="6" t="str">
        <f aca="false">IF(OR(F977="",M977=""),"",ROUND(AVERAGE(F977:I977)-M977,1))</f>
        <v/>
      </c>
      <c r="O977" s="17"/>
      <c r="P977" s="17"/>
      <c r="Q977" s="17"/>
    </row>
    <row r="978" customFormat="false" ht="15" hidden="false" customHeight="true" outlineLevel="0" collapsed="false">
      <c r="A978" s="17"/>
      <c r="B978" s="17"/>
      <c r="C978" s="17"/>
      <c r="D978" s="17"/>
      <c r="E978" s="17"/>
      <c r="F978" s="17"/>
      <c r="G978" s="17"/>
      <c r="H978" s="17"/>
      <c r="I978" s="17"/>
      <c r="J978" s="6" t="str">
        <f aca="false">IF(F978="","",IF(AND(F978&gt;=4,G978&gt;=4,H978&gt;=4,I978&gt;=4),"Proficient",IF(AND(F978&lt;=2,G978&lt;=2,H978&lt;=2,I978&lt;=2),"Emerging","Progressing")))</f>
        <v/>
      </c>
      <c r="K978" s="6" t="str">
        <f aca="false">IF(F978="","",IF(J978="Proficient","Yes","No"))</f>
        <v/>
      </c>
      <c r="L978" s="6" t="str">
        <f aca="false">IF(F978="","",INDEX({"Listening","Speaking","Reading","Writing"},MATCH(MIN(F978:I978),F978:I978,0)))</f>
        <v/>
      </c>
      <c r="M978" s="17"/>
      <c r="N978" s="6" t="str">
        <f aca="false">IF(OR(F978="",M978=""),"",ROUND(AVERAGE(F978:I978)-M978,1))</f>
        <v/>
      </c>
      <c r="O978" s="17"/>
      <c r="P978" s="17"/>
      <c r="Q978" s="17"/>
    </row>
    <row r="979" customFormat="false" ht="15" hidden="false" customHeight="true" outlineLevel="0" collapsed="false">
      <c r="A979" s="17"/>
      <c r="B979" s="17"/>
      <c r="C979" s="17"/>
      <c r="D979" s="17"/>
      <c r="E979" s="17"/>
      <c r="F979" s="17"/>
      <c r="G979" s="17"/>
      <c r="H979" s="17"/>
      <c r="I979" s="17"/>
      <c r="J979" s="6" t="str">
        <f aca="false">IF(F979="","",IF(AND(F979&gt;=4,G979&gt;=4,H979&gt;=4,I979&gt;=4),"Proficient",IF(AND(F979&lt;=2,G979&lt;=2,H979&lt;=2,I979&lt;=2),"Emerging","Progressing")))</f>
        <v/>
      </c>
      <c r="K979" s="6" t="str">
        <f aca="false">IF(F979="","",IF(J979="Proficient","Yes","No"))</f>
        <v/>
      </c>
      <c r="L979" s="6" t="str">
        <f aca="false">IF(F979="","",INDEX({"Listening","Speaking","Reading","Writing"},MATCH(MIN(F979:I979),F979:I979,0)))</f>
        <v/>
      </c>
      <c r="M979" s="17"/>
      <c r="N979" s="6" t="str">
        <f aca="false">IF(OR(F979="",M979=""),"",ROUND(AVERAGE(F979:I979)-M979,1))</f>
        <v/>
      </c>
      <c r="O979" s="17"/>
      <c r="P979" s="17"/>
      <c r="Q979" s="17"/>
    </row>
    <row r="980" customFormat="false" ht="15" hidden="false" customHeight="true" outlineLevel="0" collapsed="false">
      <c r="A980" s="17"/>
      <c r="B980" s="17"/>
      <c r="C980" s="17"/>
      <c r="D980" s="17"/>
      <c r="E980" s="17"/>
      <c r="F980" s="17"/>
      <c r="G980" s="17"/>
      <c r="H980" s="17"/>
      <c r="I980" s="17"/>
      <c r="J980" s="6" t="str">
        <f aca="false">IF(F980="","",IF(AND(F980&gt;=4,G980&gt;=4,H980&gt;=4,I980&gt;=4),"Proficient",IF(AND(F980&lt;=2,G980&lt;=2,H980&lt;=2,I980&lt;=2),"Emerging","Progressing")))</f>
        <v/>
      </c>
      <c r="K980" s="6" t="str">
        <f aca="false">IF(F980="","",IF(J980="Proficient","Yes","No"))</f>
        <v/>
      </c>
      <c r="L980" s="6" t="str">
        <f aca="false">IF(F980="","",INDEX({"Listening","Speaking","Reading","Writing"},MATCH(MIN(F980:I980),F980:I980,0)))</f>
        <v/>
      </c>
      <c r="M980" s="17"/>
      <c r="N980" s="6" t="str">
        <f aca="false">IF(OR(F980="",M980=""),"",ROUND(AVERAGE(F980:I980)-M980,1))</f>
        <v/>
      </c>
      <c r="O980" s="17"/>
      <c r="P980" s="17"/>
      <c r="Q980" s="17"/>
    </row>
    <row r="981" customFormat="false" ht="15" hidden="false" customHeight="true" outlineLevel="0" collapsed="false">
      <c r="A981" s="17"/>
      <c r="B981" s="17"/>
      <c r="C981" s="17"/>
      <c r="D981" s="17"/>
      <c r="E981" s="17"/>
      <c r="F981" s="17"/>
      <c r="G981" s="17"/>
      <c r="H981" s="17"/>
      <c r="I981" s="17"/>
      <c r="J981" s="6" t="str">
        <f aca="false">IF(F981="","",IF(AND(F981&gt;=4,G981&gt;=4,H981&gt;=4,I981&gt;=4),"Proficient",IF(AND(F981&lt;=2,G981&lt;=2,H981&lt;=2,I981&lt;=2),"Emerging","Progressing")))</f>
        <v/>
      </c>
      <c r="K981" s="6" t="str">
        <f aca="false">IF(F981="","",IF(J981="Proficient","Yes","No"))</f>
        <v/>
      </c>
      <c r="L981" s="6" t="str">
        <f aca="false">IF(F981="","",INDEX({"Listening","Speaking","Reading","Writing"},MATCH(MIN(F981:I981),F981:I981,0)))</f>
        <v/>
      </c>
      <c r="M981" s="17"/>
      <c r="N981" s="6" t="str">
        <f aca="false">IF(OR(F981="",M981=""),"",ROUND(AVERAGE(F981:I981)-M981,1))</f>
        <v/>
      </c>
      <c r="O981" s="17"/>
      <c r="P981" s="17"/>
      <c r="Q981" s="17"/>
    </row>
    <row r="982" customFormat="false" ht="15" hidden="false" customHeight="true" outlineLevel="0" collapsed="false">
      <c r="A982" s="17"/>
      <c r="B982" s="17"/>
      <c r="C982" s="17"/>
      <c r="D982" s="17"/>
      <c r="E982" s="17"/>
      <c r="F982" s="17"/>
      <c r="G982" s="17"/>
      <c r="H982" s="17"/>
      <c r="I982" s="17"/>
      <c r="J982" s="6" t="str">
        <f aca="false">IF(F982="","",IF(AND(F982&gt;=4,G982&gt;=4,H982&gt;=4,I982&gt;=4),"Proficient",IF(AND(F982&lt;=2,G982&lt;=2,H982&lt;=2,I982&lt;=2),"Emerging","Progressing")))</f>
        <v/>
      </c>
      <c r="K982" s="6" t="str">
        <f aca="false">IF(F982="","",IF(J982="Proficient","Yes","No"))</f>
        <v/>
      </c>
      <c r="L982" s="6" t="str">
        <f aca="false">IF(F982="","",INDEX({"Listening","Speaking","Reading","Writing"},MATCH(MIN(F982:I982),F982:I982,0)))</f>
        <v/>
      </c>
      <c r="M982" s="17"/>
      <c r="N982" s="6" t="str">
        <f aca="false">IF(OR(F982="",M982=""),"",ROUND(AVERAGE(F982:I982)-M982,1))</f>
        <v/>
      </c>
      <c r="O982" s="17"/>
      <c r="P982" s="17"/>
      <c r="Q982" s="17"/>
    </row>
    <row r="983" customFormat="false" ht="15" hidden="false" customHeight="true" outlineLevel="0" collapsed="false">
      <c r="A983" s="17"/>
      <c r="B983" s="17"/>
      <c r="C983" s="17"/>
      <c r="D983" s="17"/>
      <c r="E983" s="17"/>
      <c r="F983" s="17"/>
      <c r="G983" s="17"/>
      <c r="H983" s="17"/>
      <c r="I983" s="17"/>
      <c r="J983" s="6" t="str">
        <f aca="false">IF(F983="","",IF(AND(F983&gt;=4,G983&gt;=4,H983&gt;=4,I983&gt;=4),"Proficient",IF(AND(F983&lt;=2,G983&lt;=2,H983&lt;=2,I983&lt;=2),"Emerging","Progressing")))</f>
        <v/>
      </c>
      <c r="K983" s="6" t="str">
        <f aca="false">IF(F983="","",IF(J983="Proficient","Yes","No"))</f>
        <v/>
      </c>
      <c r="L983" s="6" t="str">
        <f aca="false">IF(F983="","",INDEX({"Listening","Speaking","Reading","Writing"},MATCH(MIN(F983:I983),F983:I983,0)))</f>
        <v/>
      </c>
      <c r="M983" s="17"/>
      <c r="N983" s="6" t="str">
        <f aca="false">IF(OR(F983="",M983=""),"",ROUND(AVERAGE(F983:I983)-M983,1))</f>
        <v/>
      </c>
      <c r="O983" s="17"/>
      <c r="P983" s="17"/>
      <c r="Q983" s="17"/>
    </row>
    <row r="984" customFormat="false" ht="15" hidden="false" customHeight="true" outlineLevel="0" collapsed="false">
      <c r="A984" s="17"/>
      <c r="B984" s="17"/>
      <c r="C984" s="17"/>
      <c r="D984" s="17"/>
      <c r="E984" s="17"/>
      <c r="F984" s="17"/>
      <c r="G984" s="17"/>
      <c r="H984" s="17"/>
      <c r="I984" s="17"/>
      <c r="J984" s="6" t="str">
        <f aca="false">IF(F984="","",IF(AND(F984&gt;=4,G984&gt;=4,H984&gt;=4,I984&gt;=4),"Proficient",IF(AND(F984&lt;=2,G984&lt;=2,H984&lt;=2,I984&lt;=2),"Emerging","Progressing")))</f>
        <v/>
      </c>
      <c r="K984" s="6" t="str">
        <f aca="false">IF(F984="","",IF(J984="Proficient","Yes","No"))</f>
        <v/>
      </c>
      <c r="L984" s="6" t="str">
        <f aca="false">IF(F984="","",INDEX({"Listening","Speaking","Reading","Writing"},MATCH(MIN(F984:I984),F984:I984,0)))</f>
        <v/>
      </c>
      <c r="M984" s="17"/>
      <c r="N984" s="6" t="str">
        <f aca="false">IF(OR(F984="",M984=""),"",ROUND(AVERAGE(F984:I984)-M984,1))</f>
        <v/>
      </c>
      <c r="O984" s="17"/>
      <c r="P984" s="17"/>
      <c r="Q984" s="17"/>
    </row>
    <row r="985" customFormat="false" ht="15" hidden="false" customHeight="true" outlineLevel="0" collapsed="false">
      <c r="A985" s="17"/>
      <c r="B985" s="17"/>
      <c r="C985" s="17"/>
      <c r="D985" s="17"/>
      <c r="E985" s="17"/>
      <c r="F985" s="17"/>
      <c r="G985" s="17"/>
      <c r="H985" s="17"/>
      <c r="I985" s="17"/>
      <c r="J985" s="6" t="str">
        <f aca="false">IF(F985="","",IF(AND(F985&gt;=4,G985&gt;=4,H985&gt;=4,I985&gt;=4),"Proficient",IF(AND(F985&lt;=2,G985&lt;=2,H985&lt;=2,I985&lt;=2),"Emerging","Progressing")))</f>
        <v/>
      </c>
      <c r="K985" s="6" t="str">
        <f aca="false">IF(F985="","",IF(J985="Proficient","Yes","No"))</f>
        <v/>
      </c>
      <c r="L985" s="6" t="str">
        <f aca="false">IF(F985="","",INDEX({"Listening","Speaking","Reading","Writing"},MATCH(MIN(F985:I985),F985:I985,0)))</f>
        <v/>
      </c>
      <c r="M985" s="17"/>
      <c r="N985" s="6" t="str">
        <f aca="false">IF(OR(F985="",M985=""),"",ROUND(AVERAGE(F985:I985)-M985,1))</f>
        <v/>
      </c>
      <c r="O985" s="17"/>
      <c r="P985" s="17"/>
      <c r="Q985" s="17"/>
    </row>
    <row r="986" customFormat="false" ht="15" hidden="false" customHeight="true" outlineLevel="0" collapsed="false">
      <c r="A986" s="17"/>
      <c r="B986" s="17"/>
      <c r="C986" s="17"/>
      <c r="D986" s="17"/>
      <c r="E986" s="17"/>
      <c r="F986" s="17"/>
      <c r="G986" s="17"/>
      <c r="H986" s="17"/>
      <c r="I986" s="17"/>
      <c r="J986" s="6" t="str">
        <f aca="false">IF(F986="","",IF(AND(F986&gt;=4,G986&gt;=4,H986&gt;=4,I986&gt;=4),"Proficient",IF(AND(F986&lt;=2,G986&lt;=2,H986&lt;=2,I986&lt;=2),"Emerging","Progressing")))</f>
        <v/>
      </c>
      <c r="K986" s="6" t="str">
        <f aca="false">IF(F986="","",IF(J986="Proficient","Yes","No"))</f>
        <v/>
      </c>
      <c r="L986" s="6" t="str">
        <f aca="false">IF(F986="","",INDEX({"Listening","Speaking","Reading","Writing"},MATCH(MIN(F986:I986),F986:I986,0)))</f>
        <v/>
      </c>
      <c r="M986" s="17"/>
      <c r="N986" s="6" t="str">
        <f aca="false">IF(OR(F986="",M986=""),"",ROUND(AVERAGE(F986:I986)-M986,1))</f>
        <v/>
      </c>
      <c r="O986" s="17"/>
      <c r="P986" s="17"/>
      <c r="Q986" s="17"/>
    </row>
    <row r="987" customFormat="false" ht="15" hidden="false" customHeight="true" outlineLevel="0" collapsed="false">
      <c r="A987" s="17"/>
      <c r="B987" s="17"/>
      <c r="C987" s="17"/>
      <c r="D987" s="17"/>
      <c r="E987" s="17"/>
      <c r="F987" s="17"/>
      <c r="G987" s="17"/>
      <c r="H987" s="17"/>
      <c r="I987" s="17"/>
      <c r="J987" s="6" t="str">
        <f aca="false">IF(F987="","",IF(AND(F987&gt;=4,G987&gt;=4,H987&gt;=4,I987&gt;=4),"Proficient",IF(AND(F987&lt;=2,G987&lt;=2,H987&lt;=2,I987&lt;=2),"Emerging","Progressing")))</f>
        <v/>
      </c>
      <c r="K987" s="6" t="str">
        <f aca="false">IF(F987="","",IF(J987="Proficient","Yes","No"))</f>
        <v/>
      </c>
      <c r="L987" s="6" t="str">
        <f aca="false">IF(F987="","",INDEX({"Listening","Speaking","Reading","Writing"},MATCH(MIN(F987:I987),F987:I987,0)))</f>
        <v/>
      </c>
      <c r="M987" s="17"/>
      <c r="N987" s="6" t="str">
        <f aca="false">IF(OR(F987="",M987=""),"",ROUND(AVERAGE(F987:I987)-M987,1))</f>
        <v/>
      </c>
      <c r="O987" s="17"/>
      <c r="P987" s="17"/>
      <c r="Q987" s="17"/>
    </row>
    <row r="988" customFormat="false" ht="15" hidden="false" customHeight="true" outlineLevel="0" collapsed="false">
      <c r="A988" s="17"/>
      <c r="B988" s="17"/>
      <c r="C988" s="17"/>
      <c r="D988" s="17"/>
      <c r="E988" s="17"/>
      <c r="F988" s="17"/>
      <c r="G988" s="17"/>
      <c r="H988" s="17"/>
      <c r="I988" s="17"/>
      <c r="J988" s="6" t="str">
        <f aca="false">IF(F988="","",IF(AND(F988&gt;=4,G988&gt;=4,H988&gt;=4,I988&gt;=4),"Proficient",IF(AND(F988&lt;=2,G988&lt;=2,H988&lt;=2,I988&lt;=2),"Emerging","Progressing")))</f>
        <v/>
      </c>
      <c r="K988" s="6" t="str">
        <f aca="false">IF(F988="","",IF(J988="Proficient","Yes","No"))</f>
        <v/>
      </c>
      <c r="L988" s="6" t="str">
        <f aca="false">IF(F988="","",INDEX({"Listening","Speaking","Reading","Writing"},MATCH(MIN(F988:I988),F988:I988,0)))</f>
        <v/>
      </c>
      <c r="M988" s="17"/>
      <c r="N988" s="6" t="str">
        <f aca="false">IF(OR(F988="",M988=""),"",ROUND(AVERAGE(F988:I988)-M988,1))</f>
        <v/>
      </c>
      <c r="O988" s="17"/>
      <c r="P988" s="17"/>
      <c r="Q988" s="17"/>
    </row>
    <row r="989" customFormat="false" ht="15" hidden="false" customHeight="true" outlineLevel="0" collapsed="false">
      <c r="A989" s="17"/>
      <c r="B989" s="17"/>
      <c r="C989" s="17"/>
      <c r="D989" s="17"/>
      <c r="E989" s="17"/>
      <c r="F989" s="17"/>
      <c r="G989" s="17"/>
      <c r="H989" s="17"/>
      <c r="I989" s="17"/>
      <c r="J989" s="6" t="str">
        <f aca="false">IF(F989="","",IF(AND(F989&gt;=4,G989&gt;=4,H989&gt;=4,I989&gt;=4),"Proficient",IF(AND(F989&lt;=2,G989&lt;=2,H989&lt;=2,I989&lt;=2),"Emerging","Progressing")))</f>
        <v/>
      </c>
      <c r="K989" s="6" t="str">
        <f aca="false">IF(F989="","",IF(J989="Proficient","Yes","No"))</f>
        <v/>
      </c>
      <c r="L989" s="6" t="str">
        <f aca="false">IF(F989="","",INDEX({"Listening","Speaking","Reading","Writing"},MATCH(MIN(F989:I989),F989:I989,0)))</f>
        <v/>
      </c>
      <c r="M989" s="17"/>
      <c r="N989" s="6" t="str">
        <f aca="false">IF(OR(F989="",M989=""),"",ROUND(AVERAGE(F989:I989)-M989,1))</f>
        <v/>
      </c>
      <c r="O989" s="17"/>
      <c r="P989" s="17"/>
      <c r="Q989" s="17"/>
    </row>
    <row r="990" customFormat="false" ht="15" hidden="false" customHeight="true" outlineLevel="0" collapsed="false">
      <c r="A990" s="17"/>
      <c r="B990" s="17"/>
      <c r="C990" s="17"/>
      <c r="D990" s="17"/>
      <c r="E990" s="17"/>
      <c r="F990" s="17"/>
      <c r="G990" s="17"/>
      <c r="H990" s="17"/>
      <c r="I990" s="17"/>
      <c r="J990" s="6" t="str">
        <f aca="false">IF(F990="","",IF(AND(F990&gt;=4,G990&gt;=4,H990&gt;=4,I990&gt;=4),"Proficient",IF(AND(F990&lt;=2,G990&lt;=2,H990&lt;=2,I990&lt;=2),"Emerging","Progressing")))</f>
        <v/>
      </c>
      <c r="K990" s="6" t="str">
        <f aca="false">IF(F990="","",IF(J990="Proficient","Yes","No"))</f>
        <v/>
      </c>
      <c r="L990" s="6" t="str">
        <f aca="false">IF(F990="","",INDEX({"Listening","Speaking","Reading","Writing"},MATCH(MIN(F990:I990),F990:I990,0)))</f>
        <v/>
      </c>
      <c r="M990" s="17"/>
      <c r="N990" s="6" t="str">
        <f aca="false">IF(OR(F990="",M990=""),"",ROUND(AVERAGE(F990:I990)-M990,1))</f>
        <v/>
      </c>
      <c r="O990" s="17"/>
      <c r="P990" s="17"/>
      <c r="Q990" s="17"/>
    </row>
    <row r="991" customFormat="false" ht="15" hidden="false" customHeight="true" outlineLevel="0" collapsed="false">
      <c r="A991" s="17"/>
      <c r="B991" s="17"/>
      <c r="C991" s="17"/>
      <c r="D991" s="17"/>
      <c r="E991" s="17"/>
      <c r="F991" s="17"/>
      <c r="G991" s="17"/>
      <c r="H991" s="17"/>
      <c r="I991" s="17"/>
      <c r="J991" s="6" t="str">
        <f aca="false">IF(F991="","",IF(AND(F991&gt;=4,G991&gt;=4,H991&gt;=4,I991&gt;=4),"Proficient",IF(AND(F991&lt;=2,G991&lt;=2,H991&lt;=2,I991&lt;=2),"Emerging","Progressing")))</f>
        <v/>
      </c>
      <c r="K991" s="6" t="str">
        <f aca="false">IF(F991="","",IF(J991="Proficient","Yes","No"))</f>
        <v/>
      </c>
      <c r="L991" s="6" t="str">
        <f aca="false">IF(F991="","",INDEX({"Listening","Speaking","Reading","Writing"},MATCH(MIN(F991:I991),F991:I991,0)))</f>
        <v/>
      </c>
      <c r="M991" s="17"/>
      <c r="N991" s="6" t="str">
        <f aca="false">IF(OR(F991="",M991=""),"",ROUND(AVERAGE(F991:I991)-M991,1))</f>
        <v/>
      </c>
      <c r="O991" s="17"/>
      <c r="P991" s="17"/>
      <c r="Q991" s="17"/>
    </row>
    <row r="992" customFormat="false" ht="15" hidden="false" customHeight="true" outlineLevel="0" collapsed="false">
      <c r="A992" s="17"/>
      <c r="B992" s="17"/>
      <c r="C992" s="17"/>
      <c r="D992" s="17"/>
      <c r="E992" s="17"/>
      <c r="F992" s="17"/>
      <c r="G992" s="17"/>
      <c r="H992" s="17"/>
      <c r="I992" s="17"/>
      <c r="J992" s="6" t="str">
        <f aca="false">IF(F992="","",IF(AND(F992&gt;=4,G992&gt;=4,H992&gt;=4,I992&gt;=4),"Proficient",IF(AND(F992&lt;=2,G992&lt;=2,H992&lt;=2,I992&lt;=2),"Emerging","Progressing")))</f>
        <v/>
      </c>
      <c r="K992" s="6" t="str">
        <f aca="false">IF(F992="","",IF(J992="Proficient","Yes","No"))</f>
        <v/>
      </c>
      <c r="L992" s="6" t="str">
        <f aca="false">IF(F992="","",INDEX({"Listening","Speaking","Reading","Writing"},MATCH(MIN(F992:I992),F992:I992,0)))</f>
        <v/>
      </c>
      <c r="M992" s="17"/>
      <c r="N992" s="6" t="str">
        <f aca="false">IF(OR(F992="",M992=""),"",ROUND(AVERAGE(F992:I992)-M992,1))</f>
        <v/>
      </c>
      <c r="O992" s="17"/>
      <c r="P992" s="17"/>
      <c r="Q992" s="17"/>
    </row>
    <row r="993" customFormat="false" ht="15" hidden="false" customHeight="true" outlineLevel="0" collapsed="false">
      <c r="A993" s="17"/>
      <c r="B993" s="17"/>
      <c r="C993" s="17"/>
      <c r="D993" s="17"/>
      <c r="E993" s="17"/>
      <c r="F993" s="17"/>
      <c r="G993" s="17"/>
      <c r="H993" s="17"/>
      <c r="I993" s="17"/>
      <c r="J993" s="6" t="str">
        <f aca="false">IF(F993="","",IF(AND(F993&gt;=4,G993&gt;=4,H993&gt;=4,I993&gt;=4),"Proficient",IF(AND(F993&lt;=2,G993&lt;=2,H993&lt;=2,I993&lt;=2),"Emerging","Progressing")))</f>
        <v/>
      </c>
      <c r="K993" s="6" t="str">
        <f aca="false">IF(F993="","",IF(J993="Proficient","Yes","No"))</f>
        <v/>
      </c>
      <c r="L993" s="6" t="str">
        <f aca="false">IF(F993="","",INDEX({"Listening","Speaking","Reading","Writing"},MATCH(MIN(F993:I993),F993:I993,0)))</f>
        <v/>
      </c>
      <c r="M993" s="17"/>
      <c r="N993" s="6" t="str">
        <f aca="false">IF(OR(F993="",M993=""),"",ROUND(AVERAGE(F993:I993)-M993,1))</f>
        <v/>
      </c>
      <c r="O993" s="17"/>
      <c r="P993" s="17"/>
      <c r="Q993" s="17"/>
    </row>
    <row r="994" customFormat="false" ht="15" hidden="false" customHeight="true" outlineLevel="0" collapsed="false">
      <c r="A994" s="17"/>
      <c r="B994" s="17"/>
      <c r="C994" s="17"/>
      <c r="D994" s="17"/>
      <c r="E994" s="17"/>
      <c r="F994" s="17"/>
      <c r="G994" s="17"/>
      <c r="H994" s="17"/>
      <c r="I994" s="17"/>
      <c r="J994" s="6" t="str">
        <f aca="false">IF(F994="","",IF(AND(F994&gt;=4,G994&gt;=4,H994&gt;=4,I994&gt;=4),"Proficient",IF(AND(F994&lt;=2,G994&lt;=2,H994&lt;=2,I994&lt;=2),"Emerging","Progressing")))</f>
        <v/>
      </c>
      <c r="K994" s="6" t="str">
        <f aca="false">IF(F994="","",IF(J994="Proficient","Yes","No"))</f>
        <v/>
      </c>
      <c r="L994" s="6" t="str">
        <f aca="false">IF(F994="","",INDEX({"Listening","Speaking","Reading","Writing"},MATCH(MIN(F994:I994),F994:I994,0)))</f>
        <v/>
      </c>
      <c r="M994" s="17"/>
      <c r="N994" s="6" t="str">
        <f aca="false">IF(OR(F994="",M994=""),"",ROUND(AVERAGE(F994:I994)-M994,1))</f>
        <v/>
      </c>
      <c r="O994" s="17"/>
      <c r="P994" s="17"/>
      <c r="Q994" s="17"/>
    </row>
    <row r="995" customFormat="false" ht="15" hidden="false" customHeight="true" outlineLevel="0" collapsed="false">
      <c r="A995" s="17"/>
      <c r="B995" s="17"/>
      <c r="C995" s="17"/>
      <c r="D995" s="17"/>
      <c r="E995" s="17"/>
      <c r="F995" s="17"/>
      <c r="G995" s="17"/>
      <c r="H995" s="17"/>
      <c r="I995" s="17"/>
      <c r="J995" s="6" t="str">
        <f aca="false">IF(F995="","",IF(AND(F995&gt;=4,G995&gt;=4,H995&gt;=4,I995&gt;=4),"Proficient",IF(AND(F995&lt;=2,G995&lt;=2,H995&lt;=2,I995&lt;=2),"Emerging","Progressing")))</f>
        <v/>
      </c>
      <c r="K995" s="6" t="str">
        <f aca="false">IF(F995="","",IF(J995="Proficient","Yes","No"))</f>
        <v/>
      </c>
      <c r="L995" s="6" t="str">
        <f aca="false">IF(F995="","",INDEX({"Listening","Speaking","Reading","Writing"},MATCH(MIN(F995:I995),F995:I995,0)))</f>
        <v/>
      </c>
      <c r="M995" s="17"/>
      <c r="N995" s="6" t="str">
        <f aca="false">IF(OR(F995="",M995=""),"",ROUND(AVERAGE(F995:I995)-M995,1))</f>
        <v/>
      </c>
      <c r="O995" s="17"/>
      <c r="P995" s="17"/>
      <c r="Q995" s="17"/>
    </row>
    <row r="996" customFormat="false" ht="15" hidden="false" customHeight="true" outlineLevel="0" collapsed="false">
      <c r="A996" s="17"/>
      <c r="B996" s="17"/>
      <c r="C996" s="17"/>
      <c r="D996" s="17"/>
      <c r="E996" s="17"/>
      <c r="F996" s="17"/>
      <c r="G996" s="17"/>
      <c r="H996" s="17"/>
      <c r="I996" s="17"/>
      <c r="J996" s="6" t="str">
        <f aca="false">IF(F996="","",IF(AND(F996&gt;=4,G996&gt;=4,H996&gt;=4,I996&gt;=4),"Proficient",IF(AND(F996&lt;=2,G996&lt;=2,H996&lt;=2,I996&lt;=2),"Emerging","Progressing")))</f>
        <v/>
      </c>
      <c r="K996" s="6" t="str">
        <f aca="false">IF(F996="","",IF(J996="Proficient","Yes","No"))</f>
        <v/>
      </c>
      <c r="L996" s="6" t="str">
        <f aca="false">IF(F996="","",INDEX({"Listening","Speaking","Reading","Writing"},MATCH(MIN(F996:I996),F996:I996,0)))</f>
        <v/>
      </c>
      <c r="M996" s="17"/>
      <c r="N996" s="6" t="str">
        <f aca="false">IF(OR(F996="",M996=""),"",ROUND(AVERAGE(F996:I996)-M996,1))</f>
        <v/>
      </c>
      <c r="O996" s="17"/>
      <c r="P996" s="17"/>
      <c r="Q996" s="17"/>
    </row>
    <row r="997" customFormat="false" ht="15" hidden="false" customHeight="true" outlineLevel="0" collapsed="false">
      <c r="A997" s="17"/>
      <c r="B997" s="17"/>
      <c r="C997" s="17"/>
      <c r="D997" s="17"/>
      <c r="E997" s="17"/>
      <c r="F997" s="17"/>
      <c r="G997" s="17"/>
      <c r="H997" s="17"/>
      <c r="I997" s="17"/>
      <c r="J997" s="6" t="str">
        <f aca="false">IF(F997="","",IF(AND(F997&gt;=4,G997&gt;=4,H997&gt;=4,I997&gt;=4),"Proficient",IF(AND(F997&lt;=2,G997&lt;=2,H997&lt;=2,I997&lt;=2),"Emerging","Progressing")))</f>
        <v/>
      </c>
      <c r="K997" s="6" t="str">
        <f aca="false">IF(F997="","",IF(J997="Proficient","Yes","No"))</f>
        <v/>
      </c>
      <c r="L997" s="6" t="str">
        <f aca="false">IF(F997="","",INDEX({"Listening","Speaking","Reading","Writing"},MATCH(MIN(F997:I997),F997:I997,0)))</f>
        <v/>
      </c>
      <c r="M997" s="17"/>
      <c r="N997" s="6" t="str">
        <f aca="false">IF(OR(F997="",M997=""),"",ROUND(AVERAGE(F997:I997)-M997,1))</f>
        <v/>
      </c>
      <c r="O997" s="17"/>
      <c r="P997" s="17"/>
      <c r="Q997" s="17"/>
    </row>
    <row r="998" customFormat="false" ht="15" hidden="false" customHeight="true" outlineLevel="0" collapsed="false">
      <c r="A998" s="17"/>
      <c r="B998" s="17"/>
      <c r="C998" s="17"/>
      <c r="D998" s="17"/>
      <c r="E998" s="17"/>
      <c r="F998" s="17"/>
      <c r="G998" s="17"/>
      <c r="H998" s="17"/>
      <c r="I998" s="17"/>
      <c r="J998" s="6" t="str">
        <f aca="false">IF(F998="","",IF(AND(F998&gt;=4,G998&gt;=4,H998&gt;=4,I998&gt;=4),"Proficient",IF(AND(F998&lt;=2,G998&lt;=2,H998&lt;=2,I998&lt;=2),"Emerging","Progressing")))</f>
        <v/>
      </c>
      <c r="K998" s="6" t="str">
        <f aca="false">IF(F998="","",IF(J998="Proficient","Yes","No"))</f>
        <v/>
      </c>
      <c r="L998" s="6" t="str">
        <f aca="false">IF(F998="","",INDEX({"Listening","Speaking","Reading","Writing"},MATCH(MIN(F998:I998),F998:I998,0)))</f>
        <v/>
      </c>
      <c r="M998" s="17"/>
      <c r="N998" s="6" t="str">
        <f aca="false">IF(OR(F998="",M998=""),"",ROUND(AVERAGE(F998:I998)-M998,1))</f>
        <v/>
      </c>
      <c r="O998" s="17"/>
      <c r="P998" s="17"/>
      <c r="Q998" s="17"/>
    </row>
    <row r="999" customFormat="false" ht="15" hidden="false" customHeight="true" outlineLevel="0" collapsed="false">
      <c r="A999" s="17"/>
      <c r="B999" s="17"/>
      <c r="C999" s="17"/>
      <c r="D999" s="17"/>
      <c r="E999" s="17"/>
      <c r="F999" s="17"/>
      <c r="G999" s="17"/>
      <c r="H999" s="17"/>
      <c r="I999" s="17"/>
      <c r="J999" s="6" t="str">
        <f aca="false">IF(F999="","",IF(AND(F999&gt;=4,G999&gt;=4,H999&gt;=4,I999&gt;=4),"Proficient",IF(AND(F999&lt;=2,G999&lt;=2,H999&lt;=2,I999&lt;=2),"Emerging","Progressing")))</f>
        <v/>
      </c>
      <c r="K999" s="6" t="str">
        <f aca="false">IF(F999="","",IF(J999="Proficient","Yes","No"))</f>
        <v/>
      </c>
      <c r="L999" s="6" t="str">
        <f aca="false">IF(F999="","",INDEX({"Listening","Speaking","Reading","Writing"},MATCH(MIN(F999:I999),F999:I999,0)))</f>
        <v/>
      </c>
      <c r="M999" s="17"/>
      <c r="N999" s="6" t="str">
        <f aca="false">IF(OR(F999="",M999=""),"",ROUND(AVERAGE(F999:I999)-M999,1))</f>
        <v/>
      </c>
      <c r="O999" s="17"/>
      <c r="P999" s="17"/>
      <c r="Q999" s="17"/>
    </row>
    <row r="1000" customFormat="false" ht="15" hidden="false" customHeight="true" outlineLevel="0" collapsed="false">
      <c r="A1000" s="17"/>
      <c r="B1000" s="17"/>
      <c r="C1000" s="17"/>
      <c r="D1000" s="17"/>
      <c r="E1000" s="17"/>
      <c r="F1000" s="17"/>
      <c r="G1000" s="17"/>
      <c r="H1000" s="17"/>
      <c r="I1000" s="17"/>
      <c r="J1000" s="6" t="str">
        <f aca="false">IF(F1000="","",IF(AND(F1000&gt;=4,G1000&gt;=4,H1000&gt;=4,I1000&gt;=4),"Proficient",IF(AND(F1000&lt;=2,G1000&lt;=2,H1000&lt;=2,I1000&lt;=2),"Emerging","Progressing")))</f>
        <v/>
      </c>
      <c r="K1000" s="6" t="str">
        <f aca="false">IF(F1000="","",IF(J1000="Proficient","Yes","No"))</f>
        <v/>
      </c>
      <c r="L1000" s="6" t="str">
        <f aca="false">IF(F1000="","",INDEX({"Listening","Speaking","Reading","Writing"},MATCH(MIN(F1000:I1000),F1000:I1000,0)))</f>
        <v/>
      </c>
      <c r="M1000" s="17"/>
      <c r="N1000" s="6" t="str">
        <f aca="false">IF(OR(F1000="",M1000=""),"",ROUND(AVERAGE(F1000:I1000)-M1000,1))</f>
        <v/>
      </c>
      <c r="O1000" s="17"/>
      <c r="P1000" s="17"/>
      <c r="Q1000" s="17"/>
    </row>
    <row r="1001" customFormat="false" ht="15" hidden="false" customHeight="true" outlineLevel="0" collapsed="false">
      <c r="A1001" s="17"/>
      <c r="B1001" s="17"/>
      <c r="C1001" s="17"/>
      <c r="D1001" s="17"/>
      <c r="E1001" s="17"/>
      <c r="F1001" s="17"/>
      <c r="G1001" s="17"/>
      <c r="H1001" s="17"/>
      <c r="I1001" s="17"/>
      <c r="J1001" s="6" t="str">
        <f aca="false">IF(F1001="","",IF(AND(F1001&gt;=4,G1001&gt;=4,H1001&gt;=4,I1001&gt;=4),"Proficient",IF(AND(F1001&lt;=2,G1001&lt;=2,H1001&lt;=2,I1001&lt;=2),"Emerging","Progressing")))</f>
        <v/>
      </c>
      <c r="K1001" s="6" t="str">
        <f aca="false">IF(F1001="","",IF(J1001="Proficient","Yes","No"))</f>
        <v/>
      </c>
      <c r="L1001" s="6" t="str">
        <f aca="false">IF(F1001="","",INDEX({"Listening","Speaking","Reading","Writing"},MATCH(MIN(F1001:I1001),F1001:I1001,0)))</f>
        <v/>
      </c>
      <c r="M1001" s="17"/>
      <c r="N1001" s="6" t="str">
        <f aca="false">IF(OR(F1001="",M1001=""),"",ROUND(AVERAGE(F1001:I1001)-M1001,1))</f>
        <v/>
      </c>
      <c r="O1001" s="17"/>
      <c r="P1001" s="17"/>
      <c r="Q1001" s="17"/>
    </row>
  </sheetData>
  <autoFilter ref="A1:Q1001"/>
  <dataValidations count="2">
    <dataValidation allowBlank="true" errorStyle="stop" operator="between" showDropDown="false" showErrorMessage="false" showInputMessage="false" sqref="F2:I1001 M2:M1001" type="whole">
      <formula1>1</formula1>
      <formula2>5</formula2>
    </dataValidation>
    <dataValidation allowBlank="true" errorStyle="stop" operator="between" showDropDown="false" showErrorMessage="false" showInputMessage="false" sqref="O2:O1001" type="list">
      <formula1>"EL,Declined,Monitored Y1,Monitored Y2,Monitored Y3,Monitored Y4"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2026-10-04T01:32:50Z</dcterms:created>
  <dc:creator>openpyxl</dc:creator>
  <dc:description/>
  <dc:language>en-US</dc:language>
  <cp:lastModifiedBy/>
  <dcterms:modified xsi:type="dcterms:W3CDTF">2026-10-03T20:33:43Z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